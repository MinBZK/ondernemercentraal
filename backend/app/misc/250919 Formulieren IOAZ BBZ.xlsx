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11"/>
  <workbookPr/>
  <mc:AlternateContent xmlns:mc="http://schemas.openxmlformats.org/markup-compatibility/2006">
    <mc:Choice Requires="x15">
      <x15ac:absPath xmlns:x15ac="http://schemas.microsoft.com/office/spreadsheetml/2010/11/ac" url="https://ictubeheer.sharepoint.com/teams/OC/Gedeelde documenten/General/BBZ &amp; IOAZ/"/>
    </mc:Choice>
  </mc:AlternateContent>
  <xr:revisionPtr revIDLastSave="2229" documentId="8_{4F2E6CA0-AC89-4557-9EBB-30E752946711}" xr6:coauthVersionLast="47" xr6:coauthVersionMax="47" xr10:uidLastSave="{21464BC3-7641-4E3A-8263-C6ED32095707}"/>
  <bookViews>
    <workbookView xWindow="-135" yWindow="-135" windowWidth="29070" windowHeight="15750" firstSheet="2" xr2:uid="{63F04FA0-9368-403B-9BA3-0CD8E80DA129}"/>
  </bookViews>
  <sheets>
    <sheet name="IOAZ-aanvraag" sheetId="1" r:id="rId1"/>
    <sheet name="BBZ-verlenging aanvraag" sheetId="3" r:id="rId2"/>
    <sheet name="BBZ-aanvraag" sheetId="4" r:id="rId3"/>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1" i="3" l="1"/>
  <c r="E1" i="3"/>
  <c r="C1" i="3"/>
  <c r="F1" i="4"/>
  <c r="E1" i="4"/>
  <c r="F1" i="1"/>
  <c r="C1" i="1"/>
  <c r="E1" i="1"/>
  <c r="C1" i="4" l="1"/>
</calcChain>
</file>

<file path=xl/sharedStrings.xml><?xml version="1.0" encoding="utf-8"?>
<sst xmlns="http://schemas.openxmlformats.org/spreadsheetml/2006/main" count="1905" uniqueCount="347">
  <si>
    <t>2 componenten om oneindig elementen toe te voegen</t>
  </si>
  <si>
    <t>nr</t>
  </si>
  <si>
    <t>Hoofdonderwerp</t>
  </si>
  <si>
    <t>Sub-categorie</t>
  </si>
  <si>
    <t>Vraag/ tekst</t>
  </si>
  <si>
    <t>Data type</t>
  </si>
  <si>
    <t xml:space="preserve">Mogelijke antwoorden </t>
  </si>
  <si>
    <t>Overige opmerkingen</t>
  </si>
  <si>
    <t xml:space="preserve">Varidaties </t>
  </si>
  <si>
    <t>Verplicht (ja/nee)</t>
  </si>
  <si>
    <t>Tonen (altijd, op basis van voorgaande vraag)</t>
  </si>
  <si>
    <t>Voorgaande vraag</t>
  </si>
  <si>
    <t>Voorgaande vraag antwoord</t>
  </si>
  <si>
    <t xml:space="preserve">Uw gegevens </t>
  </si>
  <si>
    <t>Persoongegevens</t>
  </si>
  <si>
    <t xml:space="preserve">Hieronder ziet u de gegevens die wij van u weten. Kloppen uw gegevens niet? Dan kunt u deze laten aanpassen via www.utrecht.nl/persoongegevenswijzigen Uw e-mailadres en telefoonnummer vult u zelf in. </t>
  </si>
  <si>
    <t>Altijd</t>
  </si>
  <si>
    <t>Burgerservicenummer (BSN)</t>
  </si>
  <si>
    <t>Getal</t>
  </si>
  <si>
    <t>-</t>
  </si>
  <si>
    <t>Max 10 cijfers</t>
  </si>
  <si>
    <t>Ja</t>
  </si>
  <si>
    <t>Voorletter(s)</t>
  </si>
  <si>
    <t>Tekst</t>
  </si>
  <si>
    <t>een letter+punt</t>
  </si>
  <si>
    <t>Tussenvoegsel(s)</t>
  </si>
  <si>
    <t>30-50  tekens</t>
  </si>
  <si>
    <t>Nee</t>
  </si>
  <si>
    <t xml:space="preserve">Achternaam </t>
  </si>
  <si>
    <t>100 tekens</t>
  </si>
  <si>
    <t xml:space="preserve">Geboortedatum </t>
  </si>
  <si>
    <t>Datum</t>
  </si>
  <si>
    <t>YYYY-MM-DD</t>
  </si>
  <si>
    <t>Adresgegevens</t>
  </si>
  <si>
    <t xml:space="preserve">Postcode </t>
  </si>
  <si>
    <t>1234AB</t>
  </si>
  <si>
    <t xml:space="preserve">Huisnummer </t>
  </si>
  <si>
    <t>Alleen getallen: 12, 107, 4012
In sommige gevallen kan het als string voorkomen vanwege toevoegingen</t>
  </si>
  <si>
    <t>Huisletter</t>
  </si>
  <si>
    <t>A-Z</t>
  </si>
  <si>
    <t>Huisnummertoevoeging</t>
  </si>
  <si>
    <t>max 5-10 tekens</t>
  </si>
  <si>
    <t>Straatnaam</t>
  </si>
  <si>
    <t>Woonplaats</t>
  </si>
  <si>
    <t>50-100 tekens</t>
  </si>
  <si>
    <t xml:space="preserve">Conctact gegevens </t>
  </si>
  <si>
    <t>Telefoonnummer</t>
  </si>
  <si>
    <t>15 tekens (inclusief +, spaties)Alleen cijfers, eventueel + en spaties</t>
  </si>
  <si>
    <t>E-mailadres</t>
  </si>
  <si>
    <t>254 tekens (volgens RFC 5321)</t>
  </si>
  <si>
    <t xml:space="preserve">Gezinsituatie </t>
  </si>
  <si>
    <t>Wanneer is er sprake van samenwonen?
   - U woont op hetzelfde adres met uw partner waarmee u getrouwd bent of een geregistreerd partnerschap heeft.
   - U woont samen met uw partner en voert samen een gemeenschappelijk huishouden. Uw partner is uw huisgenoot.
   - U woont samen met uw broer of zus, waarmee u een gezamenlijk huishouden voert.
   - Ouders die samenwonen met meerderjarige kinderen zien wij niet als een gezamenlijk huishouden.</t>
  </si>
  <si>
    <t>Heeft u een partner met wie u samenwoont?</t>
  </si>
  <si>
    <t>Select</t>
  </si>
  <si>
    <t>Ja
Nee</t>
  </si>
  <si>
    <t>Persoongegevens Partner</t>
  </si>
  <si>
    <t>Op basis van voorgaande vraag</t>
  </si>
  <si>
    <t>Reden aanvraag en woonsituatie</t>
  </si>
  <si>
    <t>Waarom vraagt u deze uitkering aan?</t>
  </si>
  <si>
    <t>1000 karakerts</t>
  </si>
  <si>
    <t>Wat voor woning heeft u (en evt. uw partner)?</t>
  </si>
  <si>
    <t>Multi-select</t>
  </si>
  <si>
    <t>Huurwoning
Koopwoning
Kamerhuur
Anders</t>
  </si>
  <si>
    <t>Welke andere woning heeft u (en evt. uw partner)?</t>
  </si>
  <si>
    <t>500 karakters</t>
  </si>
  <si>
    <t>Anders</t>
  </si>
  <si>
    <t xml:space="preserve">Wonen er nog meer mensen bij u in? </t>
  </si>
  <si>
    <t xml:space="preserve">Wie wonen er nog meer bij u in? </t>
  </si>
  <si>
    <t>2000 karakters</t>
  </si>
  <si>
    <t xml:space="preserve">Bedrijfsgegevens </t>
  </si>
  <si>
    <t xml:space="preserve">Naam bedrijf </t>
  </si>
  <si>
    <t>Max. 100-150 tekens</t>
  </si>
  <si>
    <t>KvK-nummer</t>
  </si>
  <si>
    <t>Het KvK-nummer kunt u vinden op het uittreksel van de kamer van Koophandel.</t>
  </si>
  <si>
    <t>8 cijfers (standaard)</t>
  </si>
  <si>
    <t>Inschrijfdatum KvK</t>
  </si>
  <si>
    <t>DD-MM-YYYY</t>
  </si>
  <si>
    <t>Huisnummer</t>
  </si>
  <si>
    <t>Plaats</t>
  </si>
  <si>
    <t>E-mailadres van het bedrijf</t>
  </si>
  <si>
    <t xml:space="preserve">Bedrijfsvorm </t>
  </si>
  <si>
    <t>Eenmanszaak
Vennootschap onder Firma
Besloten vennootschap
Anders</t>
  </si>
  <si>
    <t>Voorwaarde uren en arbeidsverleden</t>
  </si>
  <si>
    <t>Werkt u minimaal 1225 uur per jaar in uw eigen bedrijf?</t>
  </si>
  <si>
    <t xml:space="preserve">Arbeidsverleden </t>
  </si>
  <si>
    <t>Vul hieronder uw arbeidsverleden van de afgelopen 10 jaar in.
- Geef aan welke vorm: Eigen bedrijf of loondienst.
- Geef daarbij ook de begin- en einddatum aan.
- Heeft u meerdere werkzaamheden te melden? Noem ze dan allemaal op.
- Heeft u geen werkzaamheden te melden? Laat dit veld dan leeg.</t>
  </si>
  <si>
    <t>Uw arbeidsverleden van de afgelopen 10 jaar</t>
  </si>
  <si>
    <t>2000 tekens</t>
  </si>
  <si>
    <t xml:space="preserve">Bedrijfsresultaten </t>
  </si>
  <si>
    <t>Wat is uw winst of verlies (en evt. van uw partner) geweest in de afgelopen 3 jaar? Heeft u een jaar verlies gemaakt? Noteer dan een - voor het bedrag. Is uw bedrijf later gestart dan 3 jaar geleden? Vul dan €0 in bij de jaren waarin uw onderneming nog niet gestart was.</t>
  </si>
  <si>
    <t>Winst of verlies in kalenderjaar - 3 jaar geleden (in euro's)</t>
  </si>
  <si>
    <t>Bedrag</t>
  </si>
  <si>
    <t>Positief of negatief bedrag</t>
  </si>
  <si>
    <t>Winst of verlies in kalenderjaar - 2 jaar geleden (in euro's)</t>
  </si>
  <si>
    <t>Winst of verlies in kalenderjaar - 1 jaar geleden (in euro's)</t>
  </si>
  <si>
    <t>Had u (en evt. uw partner) de laatste 3 jaar andere inkomensten uit werk of uitkering?</t>
  </si>
  <si>
    <t>Bedrag overig bruto inkomen in kalenderjaar - 3 jaar geleden (in euro's)</t>
  </si>
  <si>
    <t>Per (jaar -3)</t>
  </si>
  <si>
    <t>Week
Maand
Kwartaal
Jaar</t>
  </si>
  <si>
    <t>Bedrag overig bruto inkomen in kalenderjaar - 2 jaar geleden (in euro's)</t>
  </si>
  <si>
    <t>Per (jaar -2)</t>
  </si>
  <si>
    <t>Bedrag overig bruto inkomen in kalenderjaar - 1 jaar geleden (in euro's)</t>
  </si>
  <si>
    <t>Per (jaar -1)</t>
  </si>
  <si>
    <t xml:space="preserve">Inkomsten volgend jaar </t>
  </si>
  <si>
    <t>Inkomsten komend kalender jaar</t>
  </si>
  <si>
    <t>Netto winst uit bedrijf (en evt. uw partner)</t>
  </si>
  <si>
    <r>
      <t xml:space="preserve">Minimaal </t>
    </r>
    <r>
      <rPr>
        <sz val="10"/>
        <color theme="1"/>
        <rFont val="Arial Unicode MS"/>
      </rPr>
      <t>0,01</t>
    </r>
    <r>
      <rPr>
        <sz val="11"/>
        <color theme="1"/>
        <rFont val="Aptos Narrow"/>
        <family val="2"/>
        <scheme val="minor"/>
      </rPr>
      <t xml:space="preserve"> (geen negatieve bedragen tenzij toegestaan)</t>
    </r>
  </si>
  <si>
    <t>Bruto inkomen uit loondienst (en evt. uw partner)</t>
  </si>
  <si>
    <t>Overig bruto inkomen (en evt. uw partner)</t>
  </si>
  <si>
    <t xml:space="preserve">Bezittingen </t>
  </si>
  <si>
    <t>Welke bezittingen heeft  u (en evt. uw partner)?</t>
  </si>
  <si>
    <t>Ik heb geen bezittingen
Eigen woning
Aandelen, obligaties of andere waardepapieren
Levensverzekering
Lijfrentepolis
Koopsompolis 
Onroerende zaken (anders dan u door uzelf bewoond)
Boot, antiek, sieraden e.d. 
Aandeel in onverdeelde boedel
Cryptovaluta
Spaargeld
Overige bezittingen</t>
  </si>
  <si>
    <t>Waarde eigen woning</t>
  </si>
  <si>
    <t>Eigen woning</t>
  </si>
  <si>
    <t xml:space="preserve">Waarde aandelen, obligaties of andere waardepapieren </t>
  </si>
  <si>
    <t>Aandelen, obligaties of andere waardepapieren</t>
  </si>
  <si>
    <t>Waarde levensverzekering</t>
  </si>
  <si>
    <t>Levensverzekering</t>
  </si>
  <si>
    <t>Waarde Lijfrente</t>
  </si>
  <si>
    <t>Lijfrentepolis</t>
  </si>
  <si>
    <t>Waarde koopsompolis</t>
  </si>
  <si>
    <t>Koopsompolis</t>
  </si>
  <si>
    <t>Waarde Onroerende zaken (anders dan door uzelf bewoond)</t>
  </si>
  <si>
    <t>Onroerende zaken (anders dan u door uzelf bewoond)</t>
  </si>
  <si>
    <t xml:space="preserve">Waarde boot, antiek, sieraden e.d. </t>
  </si>
  <si>
    <t xml:space="preserve">Boot, antiek, sieraden e.d. </t>
  </si>
  <si>
    <t>Waarde aandeel in onverdeelde boedel</t>
  </si>
  <si>
    <t>Aandeel in onverdeelde boedel</t>
  </si>
  <si>
    <t xml:space="preserve">Waarde cryptovaluta </t>
  </si>
  <si>
    <t>Cryptovaluta</t>
  </si>
  <si>
    <t>Waarde spaargeld</t>
  </si>
  <si>
    <t>Spaargeld</t>
  </si>
  <si>
    <t>Welke overige bezittingen hebt u (en evt. uw partner)?</t>
  </si>
  <si>
    <t>Overige bezittingen</t>
  </si>
  <si>
    <t xml:space="preserve">Schulden </t>
  </si>
  <si>
    <t xml:space="preserve">Hebt u (en evt. uw partner) schulden? </t>
  </si>
  <si>
    <t>Geen schulden 
Hypotheekschuld
Bankschuld
Creditcard
Overige schuld(en)</t>
  </si>
  <si>
    <t>Hoeveel bedraagt de hypotheekschuld?</t>
  </si>
  <si>
    <t>Hypotheekschuld</t>
  </si>
  <si>
    <t>Hoeveel bedraagt de schuld aan de bank?</t>
  </si>
  <si>
    <t>Bankschuld</t>
  </si>
  <si>
    <t>Hoeveel bedraagt de creditcardschuld?</t>
  </si>
  <si>
    <t>Creditcard</t>
  </si>
  <si>
    <t>Wat voor andere schuld(en)?</t>
  </si>
  <si>
    <t>Max. 200 tekens</t>
  </si>
  <si>
    <t>Overige schuld(en)</t>
  </si>
  <si>
    <t>Hoeveel bedraagt de andere schuld(en)?</t>
  </si>
  <si>
    <t>Bankrekening</t>
  </si>
  <si>
    <t>Bankrekening(en)</t>
  </si>
  <si>
    <t>Als u geen Nederlandse of buitenlandse bankrekening(en) heeft kunt u deze velden leeg laten.</t>
  </si>
  <si>
    <t>Noteer alle bankrekeningnummers van uw (en evt. uw partners) Nederlandse bankrekeningen</t>
  </si>
  <si>
    <t>1000 tekens</t>
  </si>
  <si>
    <t>Nederlandse bankrekening(en): Op naam van</t>
  </si>
  <si>
    <t>Nederlandse bankrekening(en): Huidige saldo('s)</t>
  </si>
  <si>
    <t>Noteer alle bankrekeningnummers van uw (en evt. uw partners) buitenlandse bankrekeningen</t>
  </si>
  <si>
    <t>Buitenlandse bankrekening(en): Op naam van</t>
  </si>
  <si>
    <t>Buitenlandse bankrekening(en): Huidige saldo('s)</t>
  </si>
  <si>
    <t>Beëindiging bedrijf</t>
  </si>
  <si>
    <t>Weet u per welke datum u uw bedrijf kunt beëindigen?</t>
  </si>
  <si>
    <t>Ja
Nee
Ik weet het nog niet</t>
  </si>
  <si>
    <t>Per welke datum?</t>
  </si>
  <si>
    <t>dd-mm-yyyy</t>
  </si>
  <si>
    <t xml:space="preserve">Overzicht </t>
  </si>
  <si>
    <t>Bijlagen</t>
  </si>
  <si>
    <t>Om uw aanvraag compleet te maken, kunt u gevraagd worden om additionele documenten aan te leveren. Hierover ontvangt u binnenkort een brief.</t>
  </si>
  <si>
    <t>Opmerkingen</t>
  </si>
  <si>
    <t xml:space="preserve">Ruimte voor opmerkingen </t>
  </si>
  <si>
    <t>5000 karakerts</t>
  </si>
  <si>
    <t>Verklaring</t>
  </si>
  <si>
    <t>Ja, ik heb het privacybeleid gezien en geef toestemming om de gegevens die ik heb ingevuld te gebruiken voor mijn aanvraag</t>
  </si>
  <si>
    <t>Boxje wat je moet aanvinken.</t>
  </si>
  <si>
    <t>Moet aangevinkt zijn om aanvraag in te dienen.</t>
  </si>
  <si>
    <t>Ik heb alles eerlijk ingevuld en geen informatie weggelaten</t>
  </si>
  <si>
    <t>1 component om oneindig elementen toe te voegen</t>
  </si>
  <si>
    <t xml:space="preserve">Validaties </t>
  </si>
  <si>
    <t>Wat vraagt u aan?</t>
  </si>
  <si>
    <t>U kunt met dit formulier verlenging van uw lopende Bbz-uitkering aanvragen</t>
  </si>
  <si>
    <t>Wat voor soort ondernemer bent u?</t>
  </si>
  <si>
    <t>Een arbeidsongeschikte ondernemer
Een starter of een gevestigde ondernemer
Een beëindigende ondernemer</t>
  </si>
  <si>
    <t xml:space="preserve">Uw  gegevens </t>
  </si>
  <si>
    <t xml:space="preserve">Partnergegevens </t>
  </si>
  <si>
    <t>U bent partners als u:
 - getrouwd of geregistreerd partners bent, of
 - op hetzelfde adres woont en:
   - samen een huishouden hebt;
   - ex-echtgenoten of ex-partners bent;
   - samen een kind hebt;
   - u het kind van uw partner hebt erkend of uw partner uw kind heeft erkend;
   - ergens anders als partners geregistreerd staat, bijvoorbeeld bij de Belastingdienst of als medeverzekerde bij een zorgverzekering.
Bent u een ouder die samenwoont met een meerderjarig kind? Dan gelden u en uw kind niet als elkaars partners.</t>
  </si>
  <si>
    <t>Heeft u een partner?</t>
  </si>
  <si>
    <t>Gegevens partner</t>
  </si>
  <si>
    <t>Medebewoners</t>
  </si>
  <si>
    <t>### Wanneer is er sprake van samenwonen?
U woont samen met uw broer of zus, waarmee u een gezamenlijk huishouden voert.
Ouders die samenwonen met meerderjarige kinderen zien wij niet als een gezamenlijk huishouden.</t>
  </si>
  <si>
    <t>Woont u met meer volwassenen (27 jaar of ouder) in 1 huis, kamer of etage? Dan kunt u de woonkosten delen. Dit kan van invloed zijn op de hoogte van uw uitkering.</t>
  </si>
  <si>
    <t>Medebewoner</t>
  </si>
  <si>
    <t>Wonen er nog meer mensen in de woning naast uw partner of kinderen?</t>
  </si>
  <si>
    <t>Medebewoner 1: Voorletter(s)</t>
  </si>
  <si>
    <t>Medebewoner 1: Tussenvoegsel(s)</t>
  </si>
  <si>
    <t xml:space="preserve">Medebewoner 1: Achternaam </t>
  </si>
  <si>
    <t xml:space="preserve">Medebewoner 1: Geboortedatum </t>
  </si>
  <si>
    <t>Medebewoner 1: E-mailadres</t>
  </si>
  <si>
    <t>Medebewoner 1: Geef aan wat uw relatie is tot deze medebewoner</t>
  </si>
  <si>
    <t>Ouder
Schoonouder
Opa,oma,broer of zus
Iemand die een kamer bij  mij huurt 
Verhuurder
Kostganger of kostgever
Anders</t>
  </si>
  <si>
    <t>Medebewoner 1: Andere relatie, namelijk:</t>
  </si>
  <si>
    <t>1000 tekens (volgens RFC 5321)</t>
  </si>
  <si>
    <t xml:space="preserve">Wilt  u nog een medebewoner opgeven? </t>
  </si>
  <si>
    <t>Max. 4 medebewoners op te geven</t>
  </si>
  <si>
    <t>Medebewoner 2: Voorletter(s)</t>
  </si>
  <si>
    <t>Medebewoner 2: Tussenvoegsel(s)</t>
  </si>
  <si>
    <t xml:space="preserve">Medebewoner 2: Achternaam </t>
  </si>
  <si>
    <t xml:space="preserve">Medebewoner 2: Geboortedatum </t>
  </si>
  <si>
    <t>Medebewoner 2: E-mailadres</t>
  </si>
  <si>
    <t>Medebewoner 2: Geef aan wat uw relatie is tot deze medebewoner</t>
  </si>
  <si>
    <t>Medebewoner 2: Andere relatie, namelijk:</t>
  </si>
  <si>
    <t xml:space="preserve">Gegevens bedrijf </t>
  </si>
  <si>
    <t xml:space="preserve">Inkomsten </t>
  </si>
  <si>
    <t xml:space="preserve">Hebt u (en evt. uw partner) inkomsten uit een eigen onderneming? </t>
  </si>
  <si>
    <t>Totaal inkomsten uit onderneming per maand (omzet-kosten)</t>
  </si>
  <si>
    <t>Heeft u (en evt. uw partner) nog andere inkomsten?</t>
  </si>
  <si>
    <t>Andere inkomsten</t>
  </si>
  <si>
    <t>Wat voor soort inkomsten heeft u (en evt. uw partner)?</t>
  </si>
  <si>
    <t>Inkomsten uit betaald werk
Inkomsten uit een uitkering
Een pensioen
Overige inkomsten</t>
  </si>
  <si>
    <t>Werkgever/ bedrijfsnaam</t>
  </si>
  <si>
    <t>Inkomsten uit betaald werk</t>
  </si>
  <si>
    <t>Wat is uw netto loon op uw loonstrook?</t>
  </si>
  <si>
    <t>Wat voor soort uitkering krijgt u?</t>
  </si>
  <si>
    <t xml:space="preserve">WW
Ziektewet
WAO
WAZ
Wajong
WAZO
WGA(WIA)
IVA(WIA)
Partipatiewet (bijstanduitkering)
</t>
  </si>
  <si>
    <t>Inkomsten uit uitkering</t>
  </si>
  <si>
    <t>Wat is uw netto bedrag op uw specificatie (met toeslagen)?</t>
  </si>
  <si>
    <t>Wat voor pensioen krijgt u?</t>
  </si>
  <si>
    <t>Een pensioen</t>
  </si>
  <si>
    <t>Wat is uw netto bedrag op uw specificatie?</t>
  </si>
  <si>
    <t>Wat voor overige inkomsten heeft u (en evt. uw partner)?</t>
  </si>
  <si>
    <t>Overige inkomsten</t>
  </si>
  <si>
    <t>Wat krijgt u (en evt. uw partner) netto?</t>
  </si>
  <si>
    <t>Uitbetaling is per ?</t>
  </si>
  <si>
    <t>Week
4 weken
Maand</t>
  </si>
  <si>
    <t xml:space="preserve">Vermogen </t>
  </si>
  <si>
    <t>Hebt u (en evt. uw partner) (spaar)geld dat u kunt gebruiken voor uw eigen levensonderhoud?</t>
  </si>
  <si>
    <t>Totale waarde van dat (spaar)geld</t>
  </si>
  <si>
    <t>Alleen bedragen.</t>
  </si>
  <si>
    <t>Hebt u (en evt. uw partner) een erfenis of gift ontvangen?</t>
  </si>
  <si>
    <t>Totale waarde van de erfenis en/of gift</t>
  </si>
  <si>
    <t>Hebt u (en evt. uw partner) cryptovaluta?</t>
  </si>
  <si>
    <t>Totale waarde van de cryptovaluta</t>
  </si>
  <si>
    <t xml:space="preserve">Verklaring </t>
  </si>
  <si>
    <t>- Ik heb alle vragen volledig en naar waarheid beantwoord.
- Ik weet dat ik strafbaar ben als ik niet de juiste of onvolledige informatie geef:
  - Ik moet de uitkering dan geheel of gedeeltelijk terugbetalen.
  - Ik weet dat ik alle veranderingen in mijn woonsituatie, vaste lasten, inkomsten en bezittingen direct moet doorgeven aan de gemeente.
Als u een Bbz-uitkering of Ioaz-uitkering aanvraagt of ontvangt, kan het zijn dat wij uw gegevens willen doorsturen naar externe organisaties. Dit is dan voor een bedrijfseconomisch advies of voor controle van schulden.
- Ik geef de gemeente hierbij toestemming om uw gegevens door te sturen als dat nodig is.</t>
  </si>
  <si>
    <t xml:space="preserve">Ik ga akkoord met bovenstaande verklaring </t>
  </si>
  <si>
    <t>6 componenten om oneindig elementen toe te voegen</t>
  </si>
  <si>
    <t>U kunt met dit aanvraagformulier de volgende regelingen aanvragen:
### Uitkering levensonderhoud
Is uw inkomen gedaald tot onder het sociaal minimum en hebt u daardoor moeite om te kunnen voorzien in uw levensonderhoud en met het betalen van uw vaste lasten van uw bedrijf? Dan kunt u hiervoor Bbz (Besluit bijstandsverlening zelfstandigen) aanvragen.
### Bijzondere bijstand voor arbeidsongeschiktheidsverzekering
Is uw inkomen gedaald tot onder het sociaal minimum en hebt u daardoor moeite met het betalen van uw premie voor uw arbeidsongeschiktheidsverzekering? Dan kunt u hiervoor bijzondere bijstand aanvragen waarmee u het volledige bedrag aan premie van ons krijgt tot u het weer zelf kunt betalen. Voorwaarde is dat u al een arbeidsongeschiktheidsverzekering hebt.
### Bijzondere bijstand voor woonkostentoeslag
Is uw inkomen gedaald tot onder het sociaal minimum en hebt u daardoor moeite met het betalen van uw privé woonkosten? Dan kunt u hiervoor bijzondere bijstand aanvragen.
### Bedrijfskapitaal
U kunt als (startende) zelfstandige een bedrijfskapitaal aanvragen. Met een bedrijfskapitaal kunt u investeren in uw bedrijf. De rente over deze lening is 8% met een maximale looptijd van 10 jaar.</t>
  </si>
  <si>
    <t>Waar vraagt u bijstand voor? (meerdere opties mogelijk)</t>
  </si>
  <si>
    <t>Uitkering levensonderhoud
Bijzondere bijstand kosten arbeidsongeschiktheidsverzekering
Bijzondere bijstand woonkostentoeslag
Bedrijfskapitaal</t>
  </si>
  <si>
    <t>Waarom vraagt u bijstand aan?</t>
  </si>
  <si>
    <t>Max. 1000 karakters</t>
  </si>
  <si>
    <t>Welke situatie is op u van toepassing?</t>
  </si>
  <si>
    <t>Beginnend zelfstandige
Gevestigde zelfstandige (als u langer dan 18 maanden geleden gestart bent met uw bedrijf)
Zelfstandige geboren voor 01-01-1960
Beëindigende zelfstandige (als u uw bedrijf binnen 12 maanden wilt beëindigen)
Arbeidsongeschikte zelfstandige (als u door arbeidsongeschiktheid tijdelijk niet in uw onderneming kunt werken)</t>
  </si>
  <si>
    <t>Voorwaarden</t>
  </si>
  <si>
    <t>### Geldt BBZ voor u?
U krijgt eerst een aantal vragen om te weten of u aan de voorwaarden voldoet. Voldoet u aan de voorwaarden? Dan kunt u verder met uw aanvraag.</t>
  </si>
  <si>
    <t>Bent u ouder dan 18 en jonger dan de AOW-leeftijd?</t>
  </si>
  <si>
    <t>### Helaas kunt u geen BBZ aanvragen
U voldoet namelijk qua leeftijd niet aan de voorwaarden voor BBZ.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</si>
  <si>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O.b.v. voorgaande vraag</t>
  </si>
  <si>
    <t>Hebt u een eigen bedrijf?</t>
  </si>
  <si>
    <t>Wilt u een eigen bedrijf starten?</t>
  </si>
  <si>
    <t>### Helaas kunt u geen BBZ aanvragen
U voldoet namelijk niet aan de voorwaarden voor BBZ, omdat u geen eigen bedrijf heeft of wilt starten.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</si>
  <si>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Werkt u minimaal 24 uur per week?</t>
  </si>
  <si>
    <t>### Helaas kunt u geen BBZ aanvragen
U voldoet namelijk niet aan de voorwaarden voor BBZ, omdat u niet minimaal 24 uur per week werkt.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</si>
  <si>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Is uw bedrijf in Nederland gevestigd?</t>
  </si>
  <si>
    <t>### Helaas kunt u geen BBZ aanvragen
U voldoet namelijk niet aan de voorwaarden voor BBZ, omdat uw bedrijf niet in Nederland gevestigd is.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</si>
  <si>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Hebt u volledige zeggenschap in het bedrijf of zelfstandig beroep en draagt u financiële risico's daarvan (eventueel samen met partners met wie het bedrijf of zelfstandig beroep wordt uitgeoefend)?</t>
  </si>
  <si>
    <t>### Helaas kunt u geen BBZ aanvragen
U voldoet namelijk niet aan de voorwaarden voor BBZ, omdat u geen beslissingsmacht of financieel risico draagt.
Hebt u zorgen over geld of uw onderneming? Wacht niet, maar praat met een ondernemersadviseur van Ondernemer Centraal. De adviseur denkt met u mee en u krijgt weer overzicht. U kunt daarna gratis coaching, advies en hulp krijgen. Lees meer en meld u aan via www.utrecht.nl/ondernemercentraal</t>
  </si>
  <si>
    <t>Uw gegevens</t>
  </si>
  <si>
    <t>Persoonsgegevens</t>
  </si>
  <si>
    <t>Hieronder ziet u de gegevens die wij van u weten. 
Kloppen deze gegevens niet? Dan kunt u deze laten aanpassen via www.utrecht.nl/persoonsgegevenswijzigen. Uw e-mailadres en telefoonnummer vult u zelf in.</t>
  </si>
  <si>
    <t>Dit wordt automatisch weergegeven en is geen in te vullen veld.</t>
  </si>
  <si>
    <t>Achternaam</t>
  </si>
  <si>
    <t>Postcode</t>
  </si>
  <si>
    <t>Alleen getallen: 12, 107, 4012</t>
  </si>
  <si>
    <t>Contactgegevens</t>
  </si>
  <si>
    <t>Gezinssituatie</t>
  </si>
  <si>
    <t>U bent partners als u getrouwd bent of een geregistreerd partnerschap hebt.
U bent ook partners als u op hetzelfde adres woont en:
- samen een huishouden hebt
- ex-echtgenoten of ex-partners bent
- samen een kind hebt
- u het kind van uw partner hebt erkend of uw partner uw kind heeft erkend
- u ergens anders als partners geregistreerd staat. Bijvoorbeeld bij de Belastingdienst of als meeverzekerde bij een zorgverzekering.
Woont uw kind van 18 jaar of ouder op hetzelfde adres? Uw kind telt niet als partner.</t>
  </si>
  <si>
    <t>Hebt u een partner met wie u samenwoont?</t>
  </si>
  <si>
    <t>Persoongegevens partner</t>
  </si>
  <si>
    <t>Woont u met meer volwassenen (27 jaar en ouder) in 1 huis, kamer of etage? Dan kunt u de woonkosten delen. Dit kan van invloed zijn op de hoogte van uw uitkering.</t>
  </si>
  <si>
    <t xml:space="preserve">Wie wonen er nog bij u in? </t>
  </si>
  <si>
    <t xml:space="preserve">In het huidige formulier kunnen hier oneindig veel mensen toegevoegd worden ("Medebewoner toevoegen"). </t>
  </si>
  <si>
    <t>Startdatum bedrijf</t>
  </si>
  <si>
    <t>Namelijk</t>
  </si>
  <si>
    <t>In welke branche bent u werkzaam?</t>
  </si>
  <si>
    <t xml:space="preserve">Automotive
Beveiliging
Binnenvaart
Bouw
Detailhandel
Groothandel
Horeca
ICT
Kunst en cultuur
Logistiek
Markten
Persoonlijke dienstverlening
Persoonlijk vervoer
Sport en recreatie
Techniek
Uitzendbranche
Zakelijke dienstverlening
Zorg en welzijn
Anders
</t>
  </si>
  <si>
    <t>In welke andere branche werkt u?</t>
  </si>
  <si>
    <t>Bedrijfsgegevens</t>
  </si>
  <si>
    <t>Winst of verlies in huidig kalenderjaar tot nu toe (in euro's)</t>
  </si>
  <si>
    <t>Uw verwachte winst of verlies (en evt. van uw partner) in de rest van huidig kalenderjaar (in euro's)</t>
  </si>
  <si>
    <t>Later in het formulier bij de bewijsstukken wordt gevraagd om een recente winst- en verliesrekening. Aan de hand daarvan schatten we een inkomen in. Na het afsluiten van uw boekjaar wordt er gekeken wat uw inkomen uit uw onderneming was en hoeveel recht u heeft op een uitkering (de definitieve vaststelling).</t>
  </si>
  <si>
    <t>Hebt u (en evt. uw partner) meerdere ondernemingen?</t>
  </si>
  <si>
    <t>Wat zijn de namen van uw (en evt. uw partners) andere ondernemingen?</t>
  </si>
  <si>
    <t xml:space="preserve">In het huidige formulier kunnen hier oneindig veel mensen toegevoegd worden ("Onderneming toevoegen"). </t>
  </si>
  <si>
    <t>Wat zijn de KvK-nummers van uw (en evt. uw partners) andere ondernemingen?</t>
  </si>
  <si>
    <t>Wat zijn de startdatums van uw (en evt. uw partners) andere bedrijven?</t>
  </si>
  <si>
    <t>Wat zijn de postcodes van uw (en evt. uw partners) andere bedrijven?</t>
  </si>
  <si>
    <t>Wat zijn de huisnummers van uw (en evt. uw partners) andere bedrijven?</t>
  </si>
  <si>
    <t>Wat zijn de huisletters van uw (en evt. uw partners) andere bedrijven?</t>
  </si>
  <si>
    <t>Wat zijn de huisnummertoevoegingen van uw (en evt. uw partners) andere bedrijven?</t>
  </si>
  <si>
    <t>Wat zijn de straatnamen van uw (en evt. uw partners) andere bedrijven?</t>
  </si>
  <si>
    <t>Wat zijn de vestigingsplaatsen van uw (en evt. uw partners) andere bedrijven?</t>
  </si>
  <si>
    <t>Wat zijn de telefoonnummers van uw (en evt. uw partners) andere bedrijven?</t>
  </si>
  <si>
    <t>Wat zijn de e-mailadressen van uw (en evt. uw partners) andere bedrijven?</t>
  </si>
  <si>
    <t>Wat zijn de bedrijfsvormen van uw (en evt. uw partners) andere bedrijven?</t>
  </si>
  <si>
    <t>U (en evt. uw partner) heeft mogelijk ook andere inkomsten zoals betaald werk, uitkering(en), pensioen of overig werk.</t>
  </si>
  <si>
    <t>Wat voor andere inkomsten heeft u (en evt. uw partner)?</t>
  </si>
  <si>
    <t xml:space="preserve">In het huidige formulier kunnen hier oneindig veel mensen toegevoegd worden ("Inkomen toevoegen"). </t>
  </si>
  <si>
    <t>Wat ontvangt u (en evt. uw partner) netto?</t>
  </si>
  <si>
    <t>Hoevaak wordt u (en evt. uw partner) uitbetaald? (Elke week, elke 4 weken of elke maand?)</t>
  </si>
  <si>
    <t>Bezittingen en schulden</t>
  </si>
  <si>
    <t>Noteer alle bankrekeningnummers van uw Nederlandse bankrekeningen</t>
  </si>
  <si>
    <t xml:space="preserve">In het huidige formulier kunnen hier oneindig veel mensen toegevoegd worden ("Bankrekening toevoegen"). </t>
  </si>
  <si>
    <t>Noteer alle bankrekeningnummers van uw buitenlandse bankrekeningen</t>
  </si>
  <si>
    <t>Bezittingen</t>
  </si>
  <si>
    <t>Hoeveel contant geld hebt u (en uw gezin) op dit moment?</t>
  </si>
  <si>
    <t>Hebt u (en evt. uw partner) 1 of meer koopwoningen? (In Nederland of in het buitenland?)</t>
  </si>
  <si>
    <t>Noteer alle (WOZ) waardes van uw (en evt. uw partners) huizen</t>
  </si>
  <si>
    <t>Noteer alle waardes van uw (en evt. uw partners) hypotheekschuld(en)</t>
  </si>
  <si>
    <t>Zijn er spaar-, beleggingsproducten of levensverzekeringen gekoppeld aan de hypotheek?</t>
  </si>
  <si>
    <t>Wat is nu het spaar- of beleggingsbedrag?</t>
  </si>
  <si>
    <t xml:space="preserve">In het huidige formulier kunnen hier oneindig veel mensen toegevoegd worden ("Spaarrekening toevoegen"). </t>
  </si>
  <si>
    <t>Hebt u (en evt. uw partner) een auto en/of motor?</t>
  </si>
  <si>
    <t>Noteer alle kentekens van uw (en evt. uw partners) auto('s) en/of motor(en)</t>
  </si>
  <si>
    <t xml:space="preserve">In het huidige formulier kunnen hier oneindig veel toegevoegd worden ("Auto toevoegen"). </t>
  </si>
  <si>
    <t>Noteer alle dagwaardes van uw (en evt. uw partners) auto('s) en/of motor(en)</t>
  </si>
  <si>
    <t xml:space="preserve">In het huidige formulier kunnen hier oneindig veel  toegevoegd worden ("Auto toevoegen"). </t>
  </si>
  <si>
    <t>Noteer of uw (en evt. uw partners) auto('s) en/of motor(en) privé of zakelijk zijn</t>
  </si>
  <si>
    <t>Hebt u (en evt. uw partner) een camper, caravan en/of boot?</t>
  </si>
  <si>
    <t>Noteer de totale dagwaardes van uw (en evt. uw partners) camper, caravan en/of boot</t>
  </si>
  <si>
    <t xml:space="preserve">In het huidige formulier kunnen hier oneindig veel  toegevoegd worden ("Voertuig toevoegen"). </t>
  </si>
  <si>
    <t>Hebt u (en evt. uw partner) een levensverzekeringen (niet gekoppeld aan uw hypotheek), aandelen en/of obligaties?</t>
  </si>
  <si>
    <t>Totale waarde van levensverzekeringen (niet gekoppeld aan uw hypotheek), aandelen en/of obligaties</t>
  </si>
  <si>
    <t xml:space="preserve">In het huidige formulier kunnen hier oneindig veel toegevoegd worden ("Voertuig toevoegen"). </t>
  </si>
  <si>
    <t>Hebt u (en evt. uw partner) antiek, kunst, sieraden en/of waardevolle verzamelingen?</t>
  </si>
  <si>
    <t>Totale waarde van antiek, kunst, sieraden en/of waardevolle verzamelingen</t>
  </si>
  <si>
    <t>Kunt u (of iemand uit uw gezin) aanspraak maken op een erfenis?</t>
  </si>
  <si>
    <t>Totale waarde erfenis</t>
  </si>
  <si>
    <t xml:space="preserve">In het huidige formulier kunnen hier oneindig veel mensen toegevoegd worden ("Voertuig toevoegen"). </t>
  </si>
  <si>
    <t>Schulden</t>
  </si>
  <si>
    <t>Hoeveel schulden hebt (en uw gezin) in totaal?</t>
  </si>
  <si>
    <t>Uitbetaling</t>
  </si>
  <si>
    <t>Hier geeft u aan op welke bankrekening u de uitkering wilt ontvangen</t>
  </si>
  <si>
    <t xml:space="preserve">Bankrekeningnummer </t>
  </si>
  <si>
    <t>Bijvoorbeeld NL40RABO0123456789</t>
  </si>
  <si>
    <t>exact 18 tekens
Controlepunt	Toelichting
Start met NL	Alleen Nederlandse IBANs toegestaan
18 tekens lang	Geen spaties of extra tekens
Alleen hoofdletters + cijfers	A-Z en 0-9
IBAN-controlegetal	Wiskundig algoritme om geldigheid te verifiëren</t>
  </si>
  <si>
    <t>Op naam van</t>
  </si>
  <si>
    <t>Max 100 tekens</t>
  </si>
  <si>
    <t>- Ik weet dat onjuiste informatie kan leiden tot terugvordering van de uitkering en/of een boete.
- Ik weet dat ik alle veranderingen in mijn situatie omtrent vaste lasten, inkomsten en bezittingen meteen moet doorgeven aan de afdeling Werk en Inkomen.
- Ik weet dat mijn gegevens kunnen worden doorgestuurd naar externe organisaties voor een bedrijfseconomisch advies en/of schuldverificatie. Ik geef hierbij toestemming aan de gemeente om mijn gegevens uit te wisselen in het belang van mijn aanvraag.</t>
  </si>
  <si>
    <t>Ik ga akkoord met bovenstaande verklaring.</t>
  </si>
  <si>
    <t>Boxje wat je moet aanvinken om de aanvraag in te dienen.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</si>
</sst>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sz val="10"/>
      <color theme="1"/>
      <name val="Arial Unicode MS"/>
    </font>
    <font>
      <sz val="8"/>
      <name val="Aptos Narrow"/>
      <family val="2"/>
      <scheme val="minor"/>
    </font>
  </fonts>
  <fills count="3">
    <fill>
      <patternFill patternType="none"/>
    </fill>
    <fill>
      <patternFill patternType="gray125"/>
    </fill>
    <fill>
      <patternFill patternType="solid">
        <fgColor theme="0" tint="-4.9989318521683403E-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0" borderId="0" xfId="0" applyFont="1" applyAlignment="1">
      <alignment wrapText="1"/>
    </xf>
    <xf numFmtId="0" fontId="0" fillId="0" borderId="0" xfId="0" applyAlignment="1">
      <alignment wrapText="1"/>
    </xf>
    <xf numFmtId="0" fontId="2" fillId="0" borderId="0" xfId="0" applyFont="1"/>
    <xf numFmtId="0" fontId="0" fillId="2" borderId="0" xfId="0" applyFill="1"/>
    <xf numFmtId="0" fontId="0" fillId="0" borderId="0" xfId="0" applyAlignment="1">
      <alignment vertical="top"/>
    </xf>
    <xf numFmtId="0" fontId="0" fillId="0" borderId="0" xfId="0" applyAlignment="1">
      <alignment vertical="top" wrapText="1"/>
    </xf>
    <xf numFmtId="0" fontId="0" fillId="0" borderId="0" xfId="0" applyAlignment="1">
      <alignment horizontal="left" vertical="top"/>
    </xf>
    <xf numFmtId="0" fontId="1" fillId="0" borderId="0" xfId="0" applyFont="1" applyAlignment="1">
      <alignment vertical="top"/>
    </xf>
    <xf numFmtId="0" fontId="1" fillId="0" borderId="0" xfId="0" applyFont="1" applyAlignment="1">
      <alignment vertical="top" wrapText="1"/>
    </xf>
    <xf numFmtId="0" fontId="2" fillId="0" borderId="0" xfId="0" applyFont="1" applyAlignment="1">
      <alignment vertical="top"/>
    </xf>
    <xf numFmtId="0" fontId="0" fillId="0" borderId="0" xfId="0" applyAlignment="1">
      <alignment horizontal="left" vertical="top" wrapText="1"/>
    </xf>
    <xf numFmtId="0" fontId="0" fillId="2" borderId="0" xfId="0" applyFill="1" applyAlignment="1">
      <alignment horizontal="left" wrapText="1"/>
    </xf>
  </cellXfs>
  <cellStyles count="1">
    <cellStyle name="Normal" xfId="0" builtinId="0"/>
  </cellStyles>
  <dxfs count="42">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1" indent="0" justifyLastLine="0" shrinkToFit="0" readingOrder="0"/>
    </dxf>
    <dxf>
      <font>
        <b val="0"/>
      </font>
      <alignment horizontal="left" vertical="top" textRotation="0" wrapText="0" indent="0" justifyLastLine="0" shrinkToFit="0" readingOrder="0"/>
    </dxf>
    <dxf>
      <font>
        <b val="0"/>
      </font>
      <alignment horizontal="left" vertical="top" textRotation="0" wrapText="0" indent="0" justifyLastLine="0" shrinkToFit="0" readingOrder="0"/>
    </dxf>
    <dxf>
      <font>
        <b val="0"/>
      </font>
      <alignment horizontal="general" vertical="top" textRotation="0" wrapText="0" indent="0" justifyLastLine="0" shrinkToFit="0" readingOrder="0"/>
    </dxf>
    <dxf>
      <font>
        <b val="0"/>
        <i val="0"/>
        <strike val="0"/>
        <condense val="0"/>
        <extend val="0"/>
        <outline val="0"/>
        <shadow val="0"/>
        <u val="none"/>
        <vertAlign val="baseline"/>
        <sz val="11"/>
        <color theme="1"/>
        <name val="Aptos Narrow"/>
        <family val="2"/>
        <scheme val="minor"/>
      </font>
      <alignment horizontal="general" vertical="top"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vertical="bottom"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i val="0"/>
        <strike val="0"/>
        <condense val="0"/>
        <extend val="0"/>
        <outline val="0"/>
        <shadow val="0"/>
        <u val="none"/>
        <vertAlign val="baseline"/>
        <sz val="11"/>
        <color theme="1"/>
        <name val="Aptos Narrow"/>
        <family val="2"/>
        <scheme val="minor"/>
      </font>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horizontal="general" vertical="top" textRotation="0" wrapText="1" indent="0" justifyLastLine="0" shrinkToFit="0" readingOrder="0"/>
    </dxf>
    <dxf>
      <alignment vertical="top" textRotation="0" indent="0" justifyLastLine="0" shrinkToFit="0" readingOrder="0"/>
    </dxf>
    <dxf>
      <alignment vertical="top" textRotation="0" indent="0" justifyLastLine="0" shrinkToFit="0" readingOrder="0"/>
    </dxf>
    <dxf>
      <font>
        <b/>
        <i val="0"/>
        <strike val="0"/>
        <condense val="0"/>
        <extend val="0"/>
        <outline val="0"/>
        <shadow val="0"/>
        <u val="none"/>
        <vertAlign val="baseline"/>
        <sz val="11"/>
        <color theme="1"/>
        <name val="Aptos Narrow"/>
        <family val="2"/>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440CB2A3-BD08-46D1-8D0A-2ACFAECDAC0F}" name="Tabel3" displayName="Tabel3" ref="A4:L91" totalsRowShown="0" headerRowDxfId="41" dataDxfId="40">
  <autoFilter ref="A4:L91" xr:uid="{440CB2A3-BD08-46D1-8D0A-2ACFAECDAC0F}"/>
  <tableColumns count="12">
    <tableColumn id="1" xr3:uid="{62A0AB93-8158-44DD-A591-A2B0AFFB5BFF}" name="nr" dataDxfId="39"/>
    <tableColumn id="2" xr3:uid="{FF7EFF30-8345-4A8C-AC68-EA7C1076C0F3}" name="Hoofdonderwerp" dataDxfId="38"/>
    <tableColumn id="3" xr3:uid="{9C2E181B-AFD3-445A-85A8-C30EC0B8DD90}" name="Sub-categorie" dataDxfId="37"/>
    <tableColumn id="4" xr3:uid="{4E4C0837-264D-4D42-9DD7-683B4CE297F0}" name="Vraag/ tekst" dataDxfId="36"/>
    <tableColumn id="5" xr3:uid="{FD70D243-D52B-48A6-A83D-8B681D346669}" name="Data type" dataDxfId="35"/>
    <tableColumn id="6" xr3:uid="{10EC0329-8CD6-4C78-AFD9-91F1AA78A201}" name="Mogelijke antwoorden " dataDxfId="34"/>
    <tableColumn id="7" xr3:uid="{1D389DC8-2BAA-4D89-9B77-6C8A713EDB56}" name="Overige opmerkingen" dataDxfId="33"/>
    <tableColumn id="8" xr3:uid="{BF953DE2-3268-4928-9462-8AEE412E7D9D}" name="Varidaties " dataDxfId="32"/>
    <tableColumn id="9" xr3:uid="{13DCF220-DD90-455E-8ACE-FA386BD768AE}" name="Verplicht (ja/nee)" dataDxfId="31"/>
    <tableColumn id="10" xr3:uid="{F2E2E70D-51EF-4F4A-A240-84B8AB2B7685}" name="Tonen (altijd, op basis van voorgaande vraag)" dataDxfId="30"/>
    <tableColumn id="11" xr3:uid="{65C86903-596F-488B-A673-3C39234EC594}" name="Voorgaande vraag" dataDxfId="29"/>
    <tableColumn id="12" xr3:uid="{7D1B7020-FFE3-4245-A977-FCD116E96D20}" name="Voorgaande vraag antwoord" dataDxfId="28"/>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342A843-9E85-450C-BA9B-F2D633AB6568}" name="Tabel2" displayName="Tabel2" ref="A4:L75" totalsRowShown="0" headerRowDxfId="27" dataDxfId="26">
  <autoFilter ref="A4:L75" xr:uid="{2342A843-9E85-450C-BA9B-F2D633AB6568}"/>
  <tableColumns count="12">
    <tableColumn id="1" xr3:uid="{C4F9739F-291B-4A48-AF2D-9CE9A241F504}" name="nr" dataDxfId="25"/>
    <tableColumn id="2" xr3:uid="{AD8291F1-33F1-43B4-B58A-95FD65E7D402}" name="Hoofdonderwerp" dataDxfId="24"/>
    <tableColumn id="3" xr3:uid="{13A221F6-92DF-487A-AAA9-C908C46100ED}" name="Sub-categorie" dataDxfId="23"/>
    <tableColumn id="4" xr3:uid="{2A971893-3224-4495-9472-1A94D2AB61A2}" name="Vraag/ tekst" dataDxfId="22"/>
    <tableColumn id="5" xr3:uid="{4D16E5BD-C763-429A-87D3-79A4501A2CD6}" name="Data type" dataDxfId="21"/>
    <tableColumn id="6" xr3:uid="{BE1D6CCF-DADB-4D7C-A6BB-A227063F6A3C}" name="Mogelijke antwoorden " dataDxfId="20"/>
    <tableColumn id="7" xr3:uid="{5057E288-608D-4D54-BF68-F16B132489C3}" name="Overige opmerkingen" dataDxfId="19"/>
    <tableColumn id="8" xr3:uid="{B0962B94-F072-48BC-8F25-EB9015A68088}" name="Validaties " dataDxfId="18"/>
    <tableColumn id="9" xr3:uid="{470A2B93-8C2C-41D2-BA76-90D968CBB8CB}" name="Verplicht (ja/nee)" dataDxfId="17"/>
    <tableColumn id="10" xr3:uid="{725A1166-441E-404A-81B2-ACB94D411B0F}" name="Tonen (altijd, op basis van voorgaande vraag)" dataDxfId="16"/>
    <tableColumn id="11" xr3:uid="{E820626B-DFFA-4710-9552-F2EAEDD33417}" name="Voorgaande vraag" dataDxfId="15"/>
    <tableColumn id="12" xr3:uid="{E8710D55-FEF2-4203-AE3F-52A139ACA378}" name="Voorgaande vraag antwoord" dataDxfId="14"/>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9F84557-0107-4CF8-8CF8-E43512F55581}" name="Tabel1" displayName="Tabel1" ref="A4:L119" totalsRowShown="0" headerRowDxfId="13" dataDxfId="12">
  <autoFilter ref="A4:L119" xr:uid="{79F84557-0107-4CF8-8CF8-E43512F55581}"/>
  <tableColumns count="12">
    <tableColumn id="1" xr3:uid="{B22FDD7B-1B50-453F-85A2-17076CDA3495}" name="nr" dataDxfId="11"/>
    <tableColumn id="2" xr3:uid="{0C1C5165-BB1A-47D7-B752-72E90016C4AF}" name="Hoofdonderwerp" dataDxfId="10"/>
    <tableColumn id="3" xr3:uid="{811A4142-9F3E-4298-9B6F-1B47FC6782F5}" name="Sub-categorie" dataDxfId="9"/>
    <tableColumn id="4" xr3:uid="{5B2DB96C-6AB6-4804-92B9-E5E4AE372D56}" name="Vraag/ tekst" dataDxfId="8"/>
    <tableColumn id="5" xr3:uid="{EBAB9D99-F653-4D01-9045-8E79B28EB411}" name="Data type" dataDxfId="7"/>
    <tableColumn id="6" xr3:uid="{841D4153-E6DE-407E-BC98-1436A49357ED}" name="Mogelijke antwoorden " dataDxfId="6"/>
    <tableColumn id="7" xr3:uid="{8E5F82EC-4DA7-48D0-94D9-98E2B4B5B766}" name="Overige opmerkingen" dataDxfId="5"/>
    <tableColumn id="8" xr3:uid="{7D5D846E-EE61-4361-BD98-C87E50CDDEF8}" name="Validaties " dataDxfId="4"/>
    <tableColumn id="9" xr3:uid="{5ACE497B-503C-4CF5-902E-7FD0AEF0E5C3}" name="Verplicht (ja/nee)" dataDxfId="3"/>
    <tableColumn id="10" xr3:uid="{01920549-BC9D-4C25-B09A-ABE635694684}" name="Tonen (altijd, op basis van voorgaande vraag)" dataDxfId="2"/>
    <tableColumn id="11" xr3:uid="{C158B0BB-E197-4AE2-9EC5-8D2A277A1CFB}" name="Voorgaande vraag" dataDxfId="1"/>
    <tableColumn id="12" xr3:uid="{8B5C8106-9663-43C5-A222-BC9E0CF79F82}" name="Voorgaande vraag antwoord" dataDxfId="0"/>
  </tableColumns>
  <tableStyleInfo name="TableStyleMedium2" showFirstColumn="0" showLastColumn="0" showRowStripes="1" showColumnStripes="0"/>
</table>
</file>

<file path=xl/theme/theme1.xml><?xml version="1.0" encoding="utf-8"?>
<a:theme xmlns:a="http://schemas.openxmlformats.org/drawingml/2006/main" name="Kantoorthema">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56E7B-67C2-43D0-A1E6-2414A0677E77}">
  <dimension ref="A1:L91"/>
  <sheetViews>
    <sheetView tabSelected="1" zoomScale="115" zoomScaleNormal="115" workbookViewId="0">
      <pane ySplit="4" topLeftCell="D61" activePane="bottomLeft" state="frozen"/>
      <selection pane="bottomLeft" activeCell="L72" sqref="L72"/>
    </sheetView>
  </sheetViews>
  <sheetFormatPr defaultRowHeight="15"/>
  <cols>
    <col min="1" max="1" width="4.85546875" customWidth="1"/>
    <col min="2" max="2" width="17" style="3" customWidth="1"/>
    <col min="3" max="3" width="30.7109375" bestFit="1" customWidth="1"/>
    <col min="4" max="4" width="56.140625" style="3" bestFit="1" customWidth="1"/>
    <col min="5" max="5" width="58.28515625" bestFit="1" customWidth="1"/>
    <col min="6" max="6" width="25.42578125" customWidth="1"/>
    <col min="7" max="7" width="20.85546875" customWidth="1"/>
    <col min="8" max="8" width="33.28515625" customWidth="1"/>
    <col min="9" max="9" width="20.28515625" bestFit="1" customWidth="1"/>
    <col min="10" max="10" width="42.140625" bestFit="1" customWidth="1"/>
    <col min="11" max="11" width="18" customWidth="1"/>
    <col min="12" max="12" width="27.5703125" bestFit="1" customWidth="1"/>
  </cols>
  <sheetData>
    <row r="1" spans="1:12">
      <c r="C1" t="str">
        <f>COUNTA(A5:A91)&amp;" velden"</f>
        <v>87 velden</v>
      </c>
      <c r="D1" t="s">
        <v>0</v>
      </c>
      <c r="E1" t="str">
        <f>COUNTA(H5:H91)&amp;" velden met validatie"</f>
        <v>68 velden met validatie</v>
      </c>
      <c r="F1" t="str">
        <f>COUNTA(K5:K91)&amp;" velden met voorgaande vraag"</f>
        <v>31 velden met voorgaande vraag</v>
      </c>
    </row>
    <row r="4" spans="1:12">
      <c r="A4" s="1" t="s">
        <v>1</v>
      </c>
      <c r="B4" s="2" t="s">
        <v>2</v>
      </c>
      <c r="C4" s="1" t="s">
        <v>3</v>
      </c>
      <c r="D4" s="2" t="s">
        <v>4</v>
      </c>
      <c r="E4" s="1" t="s">
        <v>5</v>
      </c>
      <c r="F4" s="1" t="s">
        <v>6</v>
      </c>
      <c r="G4" s="1" t="s">
        <v>7</v>
      </c>
      <c r="H4" s="1" t="s">
        <v>8</v>
      </c>
      <c r="I4" s="1" t="s">
        <v>9</v>
      </c>
      <c r="J4" s="1" t="s">
        <v>10</v>
      </c>
      <c r="K4" s="1" t="s">
        <v>11</v>
      </c>
      <c r="L4" s="1" t="s">
        <v>12</v>
      </c>
    </row>
    <row r="5" spans="1:12" ht="57.75">
      <c r="A5" s="6">
        <v>1</v>
      </c>
      <c r="B5" s="7" t="s">
        <v>13</v>
      </c>
      <c r="C5" s="6" t="s">
        <v>14</v>
      </c>
      <c r="D5" s="7" t="s">
        <v>15</v>
      </c>
      <c r="E5" s="9"/>
      <c r="F5" s="10"/>
      <c r="G5" s="9"/>
      <c r="H5" s="9"/>
      <c r="I5" s="9"/>
      <c r="J5" s="6" t="s">
        <v>16</v>
      </c>
      <c r="K5" s="9"/>
      <c r="L5" s="9"/>
    </row>
    <row r="6" spans="1:12">
      <c r="A6" s="6">
        <v>2</v>
      </c>
      <c r="B6" s="7" t="s">
        <v>13</v>
      </c>
      <c r="C6" s="6" t="s">
        <v>14</v>
      </c>
      <c r="D6" s="7" t="s">
        <v>17</v>
      </c>
      <c r="E6" s="6" t="s">
        <v>18</v>
      </c>
      <c r="F6" s="7" t="s">
        <v>19</v>
      </c>
      <c r="G6" s="6"/>
      <c r="H6" s="6" t="s">
        <v>20</v>
      </c>
      <c r="I6" s="6" t="s">
        <v>21</v>
      </c>
      <c r="J6" s="6" t="s">
        <v>16</v>
      </c>
      <c r="K6" s="9"/>
      <c r="L6" s="9"/>
    </row>
    <row r="7" spans="1:12">
      <c r="A7" s="6">
        <v>3</v>
      </c>
      <c r="B7" s="7" t="s">
        <v>13</v>
      </c>
      <c r="C7" s="6" t="s">
        <v>14</v>
      </c>
      <c r="D7" s="7" t="s">
        <v>22</v>
      </c>
      <c r="E7" s="6" t="s">
        <v>23</v>
      </c>
      <c r="F7" s="7"/>
      <c r="G7" s="6"/>
      <c r="H7" s="6" t="s">
        <v>24</v>
      </c>
      <c r="I7" s="6" t="s">
        <v>21</v>
      </c>
      <c r="J7" s="6" t="s">
        <v>16</v>
      </c>
      <c r="K7" s="6"/>
      <c r="L7" s="6"/>
    </row>
    <row r="8" spans="1:12">
      <c r="A8" s="6">
        <v>4</v>
      </c>
      <c r="B8" s="7" t="s">
        <v>13</v>
      </c>
      <c r="C8" s="6" t="s">
        <v>14</v>
      </c>
      <c r="D8" s="7" t="s">
        <v>25</v>
      </c>
      <c r="E8" s="6" t="s">
        <v>23</v>
      </c>
      <c r="F8" s="7"/>
      <c r="G8" s="6"/>
      <c r="H8" s="6" t="s">
        <v>26</v>
      </c>
      <c r="I8" s="6" t="s">
        <v>27</v>
      </c>
      <c r="J8" s="6" t="s">
        <v>16</v>
      </c>
      <c r="K8" s="6"/>
      <c r="L8" s="6"/>
    </row>
    <row r="9" spans="1:12">
      <c r="A9" s="6">
        <v>5</v>
      </c>
      <c r="B9" s="7" t="s">
        <v>13</v>
      </c>
      <c r="C9" s="6" t="s">
        <v>14</v>
      </c>
      <c r="D9" s="7" t="s">
        <v>28</v>
      </c>
      <c r="E9" s="6" t="s">
        <v>23</v>
      </c>
      <c r="F9" s="7"/>
      <c r="G9" s="6"/>
      <c r="H9" s="6" t="s">
        <v>29</v>
      </c>
      <c r="I9" s="6" t="s">
        <v>21</v>
      </c>
      <c r="J9" s="6" t="s">
        <v>16</v>
      </c>
      <c r="K9" s="6"/>
      <c r="L9" s="6"/>
    </row>
    <row r="10" spans="1:12">
      <c r="A10" s="6">
        <v>6</v>
      </c>
      <c r="B10" s="7" t="s">
        <v>13</v>
      </c>
      <c r="C10" s="6" t="s">
        <v>14</v>
      </c>
      <c r="D10" s="7" t="s">
        <v>30</v>
      </c>
      <c r="E10" s="6" t="s">
        <v>31</v>
      </c>
      <c r="F10" s="7"/>
      <c r="G10" s="6"/>
      <c r="H10" s="6" t="s">
        <v>32</v>
      </c>
      <c r="I10" s="6" t="s">
        <v>21</v>
      </c>
      <c r="J10" s="6" t="s">
        <v>16</v>
      </c>
      <c r="K10" s="6"/>
      <c r="L10" s="6"/>
    </row>
    <row r="11" spans="1:12">
      <c r="A11" s="6">
        <v>7</v>
      </c>
      <c r="B11" s="7" t="s">
        <v>13</v>
      </c>
      <c r="C11" s="6" t="s">
        <v>33</v>
      </c>
      <c r="D11" s="7" t="s">
        <v>34</v>
      </c>
      <c r="E11" s="6" t="s">
        <v>23</v>
      </c>
      <c r="F11" s="7"/>
      <c r="G11" s="6"/>
      <c r="H11" s="6" t="s">
        <v>35</v>
      </c>
      <c r="I11" s="6" t="s">
        <v>21</v>
      </c>
      <c r="J11" s="6" t="s">
        <v>16</v>
      </c>
      <c r="K11" s="6"/>
      <c r="L11" s="6"/>
    </row>
    <row r="12" spans="1:12" ht="57.75">
      <c r="A12" s="6">
        <v>8</v>
      </c>
      <c r="B12" s="7" t="s">
        <v>13</v>
      </c>
      <c r="C12" s="6" t="s">
        <v>33</v>
      </c>
      <c r="D12" s="7" t="s">
        <v>36</v>
      </c>
      <c r="E12" s="6" t="s">
        <v>18</v>
      </c>
      <c r="F12" s="7"/>
      <c r="G12" s="6"/>
      <c r="H12" s="7" t="s">
        <v>37</v>
      </c>
      <c r="I12" s="6" t="s">
        <v>21</v>
      </c>
      <c r="J12" s="6" t="s">
        <v>16</v>
      </c>
      <c r="K12" s="6"/>
      <c r="L12" s="6"/>
    </row>
    <row r="13" spans="1:12">
      <c r="A13" s="6">
        <v>9</v>
      </c>
      <c r="B13" s="7" t="s">
        <v>13</v>
      </c>
      <c r="C13" s="6" t="s">
        <v>33</v>
      </c>
      <c r="D13" s="7" t="s">
        <v>38</v>
      </c>
      <c r="E13" s="6" t="s">
        <v>23</v>
      </c>
      <c r="F13" s="7"/>
      <c r="G13" s="6"/>
      <c r="H13" s="6" t="s">
        <v>39</v>
      </c>
      <c r="I13" s="6" t="s">
        <v>21</v>
      </c>
      <c r="J13" s="6" t="s">
        <v>16</v>
      </c>
      <c r="K13" s="6"/>
      <c r="L13" s="6"/>
    </row>
    <row r="14" spans="1:12">
      <c r="A14" s="6">
        <v>10</v>
      </c>
      <c r="B14" s="7" t="s">
        <v>13</v>
      </c>
      <c r="C14" s="6" t="s">
        <v>33</v>
      </c>
      <c r="D14" s="7" t="s">
        <v>40</v>
      </c>
      <c r="E14" s="6" t="s">
        <v>23</v>
      </c>
      <c r="F14" s="7"/>
      <c r="G14" s="6"/>
      <c r="H14" s="6" t="s">
        <v>41</v>
      </c>
      <c r="I14" s="6" t="s">
        <v>21</v>
      </c>
      <c r="J14" s="6" t="s">
        <v>16</v>
      </c>
      <c r="K14" s="6"/>
      <c r="L14" s="6"/>
    </row>
    <row r="15" spans="1:12">
      <c r="A15" s="6">
        <v>11</v>
      </c>
      <c r="B15" s="7" t="s">
        <v>13</v>
      </c>
      <c r="C15" s="6" t="s">
        <v>33</v>
      </c>
      <c r="D15" s="7" t="s">
        <v>42</v>
      </c>
      <c r="E15" s="6" t="s">
        <v>23</v>
      </c>
      <c r="F15" s="7"/>
      <c r="G15" s="6"/>
      <c r="H15" s="6" t="s">
        <v>29</v>
      </c>
      <c r="I15" s="6" t="s">
        <v>21</v>
      </c>
      <c r="J15" s="6" t="s">
        <v>16</v>
      </c>
      <c r="K15" s="6"/>
      <c r="L15" s="6"/>
    </row>
    <row r="16" spans="1:12">
      <c r="A16" s="6">
        <v>12</v>
      </c>
      <c r="B16" s="7" t="s">
        <v>13</v>
      </c>
      <c r="C16" s="6" t="s">
        <v>33</v>
      </c>
      <c r="D16" s="7" t="s">
        <v>43</v>
      </c>
      <c r="E16" s="6" t="s">
        <v>23</v>
      </c>
      <c r="F16" s="7"/>
      <c r="G16" s="6"/>
      <c r="H16" s="6" t="s">
        <v>44</v>
      </c>
      <c r="I16" s="6" t="s">
        <v>21</v>
      </c>
      <c r="J16" s="6" t="s">
        <v>16</v>
      </c>
      <c r="K16" s="6"/>
      <c r="L16" s="6"/>
    </row>
    <row r="17" spans="1:12" ht="29.25">
      <c r="A17" s="6">
        <v>13</v>
      </c>
      <c r="B17" s="7" t="s">
        <v>13</v>
      </c>
      <c r="C17" s="6" t="s">
        <v>45</v>
      </c>
      <c r="D17" s="7" t="s">
        <v>46</v>
      </c>
      <c r="E17" s="6" t="s">
        <v>23</v>
      </c>
      <c r="F17" s="7"/>
      <c r="G17" s="6"/>
      <c r="H17" s="7" t="s">
        <v>47</v>
      </c>
      <c r="I17" s="6" t="s">
        <v>21</v>
      </c>
      <c r="J17" s="6" t="s">
        <v>16</v>
      </c>
      <c r="K17" s="6"/>
      <c r="L17" s="6"/>
    </row>
    <row r="18" spans="1:12">
      <c r="A18" s="6">
        <v>14</v>
      </c>
      <c r="B18" s="7" t="s">
        <v>13</v>
      </c>
      <c r="C18" s="6" t="s">
        <v>45</v>
      </c>
      <c r="D18" s="7" t="s">
        <v>48</v>
      </c>
      <c r="E18" s="6" t="s">
        <v>23</v>
      </c>
      <c r="F18" s="7"/>
      <c r="G18" s="6"/>
      <c r="H18" s="6" t="s">
        <v>49</v>
      </c>
      <c r="I18" s="6" t="s">
        <v>21</v>
      </c>
      <c r="J18" s="6" t="s">
        <v>16</v>
      </c>
      <c r="K18" s="6"/>
      <c r="L18" s="6"/>
    </row>
    <row r="19" spans="1:12" ht="130.5">
      <c r="A19" s="6">
        <v>15</v>
      </c>
      <c r="B19" s="7" t="s">
        <v>50</v>
      </c>
      <c r="C19" s="6"/>
      <c r="D19" s="7" t="s">
        <v>51</v>
      </c>
      <c r="E19" s="6"/>
      <c r="F19" s="7"/>
      <c r="G19" s="6"/>
      <c r="H19" s="6"/>
      <c r="I19" s="6"/>
      <c r="J19" s="6" t="s">
        <v>16</v>
      </c>
      <c r="K19" s="6"/>
      <c r="L19" s="6"/>
    </row>
    <row r="20" spans="1:12" ht="29.25">
      <c r="A20" s="6">
        <v>16</v>
      </c>
      <c r="B20" s="7" t="s">
        <v>50</v>
      </c>
      <c r="C20" s="6"/>
      <c r="D20" s="7" t="s">
        <v>52</v>
      </c>
      <c r="E20" s="6" t="s">
        <v>53</v>
      </c>
      <c r="F20" s="7" t="s">
        <v>54</v>
      </c>
      <c r="G20" s="6"/>
      <c r="H20" s="6"/>
      <c r="I20" s="6" t="s">
        <v>21</v>
      </c>
      <c r="J20" s="6" t="s">
        <v>16</v>
      </c>
      <c r="K20" s="6"/>
      <c r="L20" s="6"/>
    </row>
    <row r="21" spans="1:12">
      <c r="A21" s="6">
        <v>17</v>
      </c>
      <c r="B21" s="7" t="s">
        <v>50</v>
      </c>
      <c r="C21" s="6" t="s">
        <v>55</v>
      </c>
      <c r="D21" s="7" t="s">
        <v>17</v>
      </c>
      <c r="E21" s="6" t="s">
        <v>18</v>
      </c>
      <c r="F21" s="7" t="s">
        <v>19</v>
      </c>
      <c r="G21" s="6"/>
      <c r="H21" s="6" t="s">
        <v>20</v>
      </c>
      <c r="I21" s="6" t="s">
        <v>21</v>
      </c>
      <c r="J21" s="6" t="s">
        <v>56</v>
      </c>
      <c r="K21" s="6">
        <v>16</v>
      </c>
      <c r="L21" s="6" t="s">
        <v>21</v>
      </c>
    </row>
    <row r="22" spans="1:12">
      <c r="A22" s="6">
        <v>18</v>
      </c>
      <c r="B22" s="7" t="s">
        <v>50</v>
      </c>
      <c r="C22" s="6" t="s">
        <v>55</v>
      </c>
      <c r="D22" s="7" t="s">
        <v>22</v>
      </c>
      <c r="E22" s="6" t="s">
        <v>23</v>
      </c>
      <c r="F22" s="7"/>
      <c r="G22" s="6"/>
      <c r="H22" s="6" t="s">
        <v>24</v>
      </c>
      <c r="I22" s="6" t="s">
        <v>21</v>
      </c>
      <c r="J22" s="6" t="s">
        <v>56</v>
      </c>
      <c r="K22" s="6">
        <v>16</v>
      </c>
      <c r="L22" s="6" t="s">
        <v>21</v>
      </c>
    </row>
    <row r="23" spans="1:12">
      <c r="A23" s="6">
        <v>19</v>
      </c>
      <c r="B23" s="7" t="s">
        <v>50</v>
      </c>
      <c r="C23" s="6" t="s">
        <v>55</v>
      </c>
      <c r="D23" s="7" t="s">
        <v>25</v>
      </c>
      <c r="E23" s="6" t="s">
        <v>23</v>
      </c>
      <c r="F23" s="7"/>
      <c r="G23" s="6"/>
      <c r="H23" s="6" t="s">
        <v>26</v>
      </c>
      <c r="I23" s="6" t="s">
        <v>27</v>
      </c>
      <c r="J23" s="6" t="s">
        <v>56</v>
      </c>
      <c r="K23" s="6">
        <v>16</v>
      </c>
      <c r="L23" s="6" t="s">
        <v>21</v>
      </c>
    </row>
    <row r="24" spans="1:12">
      <c r="A24" s="6">
        <v>20</v>
      </c>
      <c r="B24" s="7" t="s">
        <v>50</v>
      </c>
      <c r="C24" s="6" t="s">
        <v>55</v>
      </c>
      <c r="D24" s="7" t="s">
        <v>28</v>
      </c>
      <c r="E24" s="6" t="s">
        <v>23</v>
      </c>
      <c r="F24" s="7"/>
      <c r="G24" s="6"/>
      <c r="H24" s="6" t="s">
        <v>29</v>
      </c>
      <c r="I24" s="6" t="s">
        <v>21</v>
      </c>
      <c r="J24" s="6" t="s">
        <v>56</v>
      </c>
      <c r="K24" s="6">
        <v>16</v>
      </c>
      <c r="L24" s="6" t="s">
        <v>21</v>
      </c>
    </row>
    <row r="25" spans="1:12">
      <c r="A25" s="6">
        <v>21</v>
      </c>
      <c r="B25" s="7" t="s">
        <v>50</v>
      </c>
      <c r="C25" s="6" t="s">
        <v>55</v>
      </c>
      <c r="D25" s="7" t="s">
        <v>30</v>
      </c>
      <c r="E25" s="6" t="s">
        <v>31</v>
      </c>
      <c r="F25" s="7"/>
      <c r="G25" s="6"/>
      <c r="H25" s="6" t="s">
        <v>32</v>
      </c>
      <c r="I25" s="6" t="s">
        <v>21</v>
      </c>
      <c r="J25" s="6" t="s">
        <v>56</v>
      </c>
      <c r="K25" s="6">
        <v>16</v>
      </c>
      <c r="L25" s="6" t="s">
        <v>21</v>
      </c>
    </row>
    <row r="26" spans="1:12">
      <c r="A26" s="6">
        <v>22</v>
      </c>
      <c r="B26" s="7" t="s">
        <v>50</v>
      </c>
      <c r="C26" s="6" t="s">
        <v>45</v>
      </c>
      <c r="D26" s="7" t="s">
        <v>48</v>
      </c>
      <c r="E26" s="6" t="s">
        <v>23</v>
      </c>
      <c r="F26" s="7"/>
      <c r="G26" s="6"/>
      <c r="H26" s="6" t="s">
        <v>49</v>
      </c>
      <c r="I26" s="6" t="s">
        <v>21</v>
      </c>
      <c r="J26" s="6" t="s">
        <v>56</v>
      </c>
      <c r="K26" s="6">
        <v>16</v>
      </c>
      <c r="L26" s="6" t="s">
        <v>21</v>
      </c>
    </row>
    <row r="27" spans="1:12" ht="29.25">
      <c r="A27" s="6">
        <v>23</v>
      </c>
      <c r="B27" s="7" t="s">
        <v>57</v>
      </c>
      <c r="C27" s="6"/>
      <c r="D27" s="7" t="s">
        <v>58</v>
      </c>
      <c r="E27" s="6" t="s">
        <v>23</v>
      </c>
      <c r="F27" s="7"/>
      <c r="G27" s="6"/>
      <c r="H27" s="6" t="s">
        <v>59</v>
      </c>
      <c r="I27" s="6" t="s">
        <v>21</v>
      </c>
      <c r="J27" s="6" t="s">
        <v>16</v>
      </c>
      <c r="K27" s="6"/>
      <c r="L27" s="6"/>
    </row>
    <row r="28" spans="1:12" ht="57.75">
      <c r="A28" s="6">
        <v>24</v>
      </c>
      <c r="B28" s="7" t="s">
        <v>57</v>
      </c>
      <c r="C28" s="6"/>
      <c r="D28" s="7" t="s">
        <v>60</v>
      </c>
      <c r="E28" s="6" t="s">
        <v>61</v>
      </c>
      <c r="F28" s="7" t="s">
        <v>62</v>
      </c>
      <c r="G28" s="6"/>
      <c r="H28" s="6"/>
      <c r="I28" s="6" t="s">
        <v>21</v>
      </c>
      <c r="J28" s="6" t="s">
        <v>16</v>
      </c>
      <c r="K28" s="6"/>
      <c r="L28" s="6"/>
    </row>
    <row r="29" spans="1:12" ht="29.25">
      <c r="A29" s="6">
        <v>25</v>
      </c>
      <c r="B29" s="7" t="s">
        <v>57</v>
      </c>
      <c r="C29" s="6"/>
      <c r="D29" s="7" t="s">
        <v>63</v>
      </c>
      <c r="E29" s="6" t="s">
        <v>23</v>
      </c>
      <c r="F29" s="7"/>
      <c r="G29" s="6"/>
      <c r="H29" s="6" t="s">
        <v>64</v>
      </c>
      <c r="I29" s="6" t="s">
        <v>21</v>
      </c>
      <c r="J29" s="6" t="s">
        <v>56</v>
      </c>
      <c r="K29" s="6">
        <v>24</v>
      </c>
      <c r="L29" s="6" t="s">
        <v>65</v>
      </c>
    </row>
    <row r="30" spans="1:12" ht="29.25">
      <c r="A30" s="6">
        <v>26</v>
      </c>
      <c r="B30" s="7" t="s">
        <v>57</v>
      </c>
      <c r="C30" s="6"/>
      <c r="D30" s="7" t="s">
        <v>66</v>
      </c>
      <c r="E30" s="6" t="s">
        <v>53</v>
      </c>
      <c r="F30" s="7" t="s">
        <v>54</v>
      </c>
      <c r="G30" s="6"/>
      <c r="H30" s="6"/>
      <c r="I30" s="6" t="s">
        <v>21</v>
      </c>
      <c r="J30" s="6"/>
      <c r="K30" s="6"/>
      <c r="L30" s="6"/>
    </row>
    <row r="31" spans="1:12" ht="29.25">
      <c r="A31" s="6">
        <v>27</v>
      </c>
      <c r="B31" s="7" t="s">
        <v>57</v>
      </c>
      <c r="C31" s="6"/>
      <c r="D31" s="7" t="s">
        <v>67</v>
      </c>
      <c r="E31" s="6" t="s">
        <v>23</v>
      </c>
      <c r="F31" s="7"/>
      <c r="G31" s="6"/>
      <c r="H31" s="6" t="s">
        <v>68</v>
      </c>
      <c r="I31" s="6" t="s">
        <v>21</v>
      </c>
      <c r="J31" s="6" t="s">
        <v>56</v>
      </c>
      <c r="K31" s="6">
        <v>26</v>
      </c>
      <c r="L31" s="6" t="s">
        <v>21</v>
      </c>
    </row>
    <row r="32" spans="1:12">
      <c r="A32" s="6">
        <v>28</v>
      </c>
      <c r="B32" s="7" t="s">
        <v>69</v>
      </c>
      <c r="C32" s="6"/>
      <c r="D32" s="7" t="s">
        <v>70</v>
      </c>
      <c r="E32" s="6" t="s">
        <v>23</v>
      </c>
      <c r="F32" s="7"/>
      <c r="G32" s="6"/>
      <c r="H32" s="6" t="s">
        <v>71</v>
      </c>
      <c r="I32" s="6" t="s">
        <v>21</v>
      </c>
      <c r="J32" s="6" t="s">
        <v>16</v>
      </c>
      <c r="K32" s="6"/>
      <c r="L32" s="6"/>
    </row>
    <row r="33" spans="1:12" ht="57.75">
      <c r="A33" s="6">
        <v>29</v>
      </c>
      <c r="B33" s="7" t="s">
        <v>69</v>
      </c>
      <c r="C33" s="6"/>
      <c r="D33" s="7" t="s">
        <v>72</v>
      </c>
      <c r="E33" s="6" t="s">
        <v>18</v>
      </c>
      <c r="F33" s="7"/>
      <c r="G33" s="7" t="s">
        <v>73</v>
      </c>
      <c r="H33" s="6" t="s">
        <v>74</v>
      </c>
      <c r="I33" s="6" t="s">
        <v>21</v>
      </c>
      <c r="J33" s="6" t="s">
        <v>16</v>
      </c>
      <c r="K33" s="6"/>
      <c r="L33" s="6"/>
    </row>
    <row r="34" spans="1:12">
      <c r="A34" s="6">
        <v>30</v>
      </c>
      <c r="B34" s="7" t="s">
        <v>69</v>
      </c>
      <c r="C34" s="6"/>
      <c r="D34" s="7" t="s">
        <v>75</v>
      </c>
      <c r="E34" s="6" t="s">
        <v>31</v>
      </c>
      <c r="F34" s="7"/>
      <c r="G34" s="6"/>
      <c r="H34" s="6" t="s">
        <v>76</v>
      </c>
      <c r="I34" s="6" t="s">
        <v>21</v>
      </c>
      <c r="J34" s="6" t="s">
        <v>16</v>
      </c>
      <c r="K34" s="6"/>
      <c r="L34" s="6"/>
    </row>
    <row r="35" spans="1:12">
      <c r="A35" s="6">
        <v>31</v>
      </c>
      <c r="B35" s="7" t="s">
        <v>69</v>
      </c>
      <c r="C35" s="6" t="s">
        <v>33</v>
      </c>
      <c r="D35" s="7" t="s">
        <v>34</v>
      </c>
      <c r="E35" s="6" t="s">
        <v>23</v>
      </c>
      <c r="F35" s="7"/>
      <c r="G35" s="6"/>
      <c r="H35" s="6" t="s">
        <v>35</v>
      </c>
      <c r="I35" s="6" t="s">
        <v>21</v>
      </c>
      <c r="J35" s="6" t="s">
        <v>16</v>
      </c>
      <c r="K35" s="6"/>
      <c r="L35" s="6"/>
    </row>
    <row r="36" spans="1:12" ht="57.75">
      <c r="A36" s="6">
        <v>32</v>
      </c>
      <c r="B36" s="7" t="s">
        <v>69</v>
      </c>
      <c r="C36" s="6" t="s">
        <v>33</v>
      </c>
      <c r="D36" s="7" t="s">
        <v>77</v>
      </c>
      <c r="E36" s="6" t="s">
        <v>18</v>
      </c>
      <c r="F36" s="7"/>
      <c r="G36" s="6"/>
      <c r="H36" s="7" t="s">
        <v>37</v>
      </c>
      <c r="I36" s="6" t="s">
        <v>21</v>
      </c>
      <c r="J36" s="6" t="s">
        <v>16</v>
      </c>
      <c r="K36" s="6"/>
      <c r="L36" s="6"/>
    </row>
    <row r="37" spans="1:12">
      <c r="A37" s="6">
        <v>33</v>
      </c>
      <c r="B37" s="7" t="s">
        <v>69</v>
      </c>
      <c r="C37" s="6" t="s">
        <v>33</v>
      </c>
      <c r="D37" s="7" t="s">
        <v>38</v>
      </c>
      <c r="E37" s="6" t="s">
        <v>23</v>
      </c>
      <c r="F37" s="7"/>
      <c r="G37" s="6"/>
      <c r="H37" s="6" t="s">
        <v>39</v>
      </c>
      <c r="I37" s="6" t="s">
        <v>27</v>
      </c>
      <c r="J37" s="6" t="s">
        <v>16</v>
      </c>
      <c r="K37" s="6"/>
      <c r="L37" s="6"/>
    </row>
    <row r="38" spans="1:12">
      <c r="A38" s="6">
        <v>34</v>
      </c>
      <c r="B38" s="7" t="s">
        <v>69</v>
      </c>
      <c r="C38" s="6" t="s">
        <v>33</v>
      </c>
      <c r="D38" s="7" t="s">
        <v>40</v>
      </c>
      <c r="E38" s="6" t="s">
        <v>23</v>
      </c>
      <c r="F38" s="7"/>
      <c r="G38" s="6"/>
      <c r="H38" s="6" t="s">
        <v>41</v>
      </c>
      <c r="I38" s="6" t="s">
        <v>27</v>
      </c>
      <c r="J38" s="6" t="s">
        <v>16</v>
      </c>
      <c r="K38" s="6"/>
      <c r="L38" s="6"/>
    </row>
    <row r="39" spans="1:12">
      <c r="A39" s="6">
        <v>35</v>
      </c>
      <c r="B39" s="7" t="s">
        <v>69</v>
      </c>
      <c r="C39" s="6" t="s">
        <v>33</v>
      </c>
      <c r="D39" s="7" t="s">
        <v>42</v>
      </c>
      <c r="E39" s="6" t="s">
        <v>23</v>
      </c>
      <c r="F39" s="7"/>
      <c r="G39" s="6"/>
      <c r="H39" s="6" t="s">
        <v>29</v>
      </c>
      <c r="I39" s="6" t="s">
        <v>21</v>
      </c>
      <c r="J39" s="6" t="s">
        <v>16</v>
      </c>
      <c r="K39" s="6"/>
      <c r="L39" s="6"/>
    </row>
    <row r="40" spans="1:12">
      <c r="A40" s="6">
        <v>36</v>
      </c>
      <c r="B40" s="7" t="s">
        <v>69</v>
      </c>
      <c r="C40" s="6" t="s">
        <v>33</v>
      </c>
      <c r="D40" s="7" t="s">
        <v>78</v>
      </c>
      <c r="E40" s="6" t="s">
        <v>23</v>
      </c>
      <c r="F40" s="7"/>
      <c r="G40" s="6"/>
      <c r="H40" s="6" t="s">
        <v>44</v>
      </c>
      <c r="I40" s="6" t="s">
        <v>21</v>
      </c>
      <c r="J40" s="6" t="s">
        <v>16</v>
      </c>
      <c r="K40" s="6"/>
      <c r="L40" s="6"/>
    </row>
    <row r="41" spans="1:12" ht="29.25">
      <c r="A41" s="6">
        <v>37</v>
      </c>
      <c r="B41" s="7" t="s">
        <v>69</v>
      </c>
      <c r="C41" s="6" t="s">
        <v>33</v>
      </c>
      <c r="D41" s="7" t="s">
        <v>46</v>
      </c>
      <c r="E41" s="6" t="s">
        <v>23</v>
      </c>
      <c r="F41" s="7"/>
      <c r="G41" s="6"/>
      <c r="H41" s="7" t="s">
        <v>47</v>
      </c>
      <c r="I41" s="6" t="s">
        <v>21</v>
      </c>
      <c r="J41" s="6" t="s">
        <v>16</v>
      </c>
      <c r="K41" s="6"/>
      <c r="L41" s="6"/>
    </row>
    <row r="42" spans="1:12">
      <c r="A42" s="6">
        <v>38</v>
      </c>
      <c r="B42" s="7" t="s">
        <v>69</v>
      </c>
      <c r="C42" s="6" t="s">
        <v>33</v>
      </c>
      <c r="D42" s="7" t="s">
        <v>79</v>
      </c>
      <c r="E42" s="6" t="s">
        <v>23</v>
      </c>
      <c r="F42" s="7"/>
      <c r="G42" s="6"/>
      <c r="H42" s="6" t="s">
        <v>49</v>
      </c>
      <c r="I42" s="6" t="s">
        <v>21</v>
      </c>
      <c r="J42" s="6" t="s">
        <v>16</v>
      </c>
      <c r="K42" s="6"/>
      <c r="L42" s="6"/>
    </row>
    <row r="43" spans="1:12" ht="57.75">
      <c r="A43" s="6">
        <v>39</v>
      </c>
      <c r="B43" s="7" t="s">
        <v>69</v>
      </c>
      <c r="C43" s="6" t="s">
        <v>33</v>
      </c>
      <c r="D43" s="7" t="s">
        <v>80</v>
      </c>
      <c r="E43" s="6" t="s">
        <v>53</v>
      </c>
      <c r="F43" s="7" t="s">
        <v>81</v>
      </c>
      <c r="G43" s="6"/>
      <c r="H43" s="6"/>
      <c r="I43" s="6" t="s">
        <v>21</v>
      </c>
      <c r="J43" s="6" t="s">
        <v>16</v>
      </c>
      <c r="K43" s="6"/>
      <c r="L43" s="6"/>
    </row>
    <row r="44" spans="1:12" ht="29.25">
      <c r="A44" s="6">
        <v>40</v>
      </c>
      <c r="B44" s="7" t="s">
        <v>82</v>
      </c>
      <c r="C44" s="6"/>
      <c r="D44" s="7" t="s">
        <v>83</v>
      </c>
      <c r="E44" s="6" t="s">
        <v>53</v>
      </c>
      <c r="F44" s="7" t="s">
        <v>54</v>
      </c>
      <c r="G44" s="6"/>
      <c r="H44" s="6"/>
      <c r="I44" s="6" t="s">
        <v>21</v>
      </c>
      <c r="J44" s="6" t="s">
        <v>16</v>
      </c>
      <c r="K44" s="6"/>
      <c r="L44" s="6"/>
    </row>
    <row r="45" spans="1:12" ht="101.25">
      <c r="A45" s="6">
        <v>41</v>
      </c>
      <c r="B45" s="7" t="s">
        <v>82</v>
      </c>
      <c r="C45" s="6" t="s">
        <v>84</v>
      </c>
      <c r="D45" s="7" t="s">
        <v>85</v>
      </c>
      <c r="E45" s="6"/>
      <c r="F45" s="7"/>
      <c r="G45" s="6"/>
      <c r="H45" s="6"/>
      <c r="I45" s="6"/>
      <c r="J45" s="6" t="s">
        <v>16</v>
      </c>
      <c r="K45" s="6"/>
      <c r="L45" s="6"/>
    </row>
    <row r="46" spans="1:12" ht="29.25">
      <c r="A46" s="6">
        <v>42</v>
      </c>
      <c r="B46" s="7" t="s">
        <v>82</v>
      </c>
      <c r="C46" s="6" t="s">
        <v>84</v>
      </c>
      <c r="D46" s="7" t="s">
        <v>86</v>
      </c>
      <c r="E46" s="6" t="s">
        <v>23</v>
      </c>
      <c r="F46" s="7"/>
      <c r="G46" s="6"/>
      <c r="H46" s="6" t="s">
        <v>87</v>
      </c>
      <c r="I46" s="6" t="s">
        <v>21</v>
      </c>
      <c r="J46" s="6" t="s">
        <v>16</v>
      </c>
      <c r="K46" s="6"/>
      <c r="L46" s="6"/>
    </row>
    <row r="47" spans="1:12" ht="72.75">
      <c r="A47" s="6">
        <v>43</v>
      </c>
      <c r="B47" s="7" t="s">
        <v>88</v>
      </c>
      <c r="C47" s="12"/>
      <c r="D47" s="7" t="s">
        <v>89</v>
      </c>
      <c r="E47" s="6"/>
      <c r="F47" s="7"/>
      <c r="G47" s="6"/>
      <c r="H47" s="6"/>
      <c r="I47" s="6"/>
      <c r="J47" s="6" t="s">
        <v>16</v>
      </c>
      <c r="K47" s="6"/>
      <c r="L47" s="6"/>
    </row>
    <row r="48" spans="1:12">
      <c r="A48" s="6">
        <v>44</v>
      </c>
      <c r="B48" s="7" t="s">
        <v>88</v>
      </c>
      <c r="C48" s="8"/>
      <c r="D48" s="7" t="s">
        <v>90</v>
      </c>
      <c r="E48" s="6" t="s">
        <v>91</v>
      </c>
      <c r="F48" s="7"/>
      <c r="G48" s="6"/>
      <c r="H48" s="6" t="s">
        <v>92</v>
      </c>
      <c r="I48" s="6" t="s">
        <v>21</v>
      </c>
      <c r="J48" s="6" t="s">
        <v>16</v>
      </c>
      <c r="K48" s="6"/>
      <c r="L48" s="6"/>
    </row>
    <row r="49" spans="1:12">
      <c r="A49" s="6">
        <v>45</v>
      </c>
      <c r="B49" s="7" t="s">
        <v>88</v>
      </c>
      <c r="C49" s="8"/>
      <c r="D49" s="7" t="s">
        <v>93</v>
      </c>
      <c r="E49" s="6" t="s">
        <v>91</v>
      </c>
      <c r="F49" s="7"/>
      <c r="G49" s="6"/>
      <c r="H49" s="6" t="s">
        <v>92</v>
      </c>
      <c r="I49" s="6" t="s">
        <v>21</v>
      </c>
      <c r="J49" s="6" t="s">
        <v>16</v>
      </c>
      <c r="K49" s="6"/>
      <c r="L49" s="6"/>
    </row>
    <row r="50" spans="1:12">
      <c r="A50" s="6">
        <v>46</v>
      </c>
      <c r="B50" s="7" t="s">
        <v>88</v>
      </c>
      <c r="C50" s="8"/>
      <c r="D50" s="7" t="s">
        <v>94</v>
      </c>
      <c r="E50" s="6" t="s">
        <v>91</v>
      </c>
      <c r="F50" s="7"/>
      <c r="G50" s="6"/>
      <c r="H50" s="6" t="s">
        <v>92</v>
      </c>
      <c r="I50" s="6" t="s">
        <v>21</v>
      </c>
      <c r="J50" s="6" t="s">
        <v>16</v>
      </c>
      <c r="K50" s="6"/>
      <c r="L50" s="6"/>
    </row>
    <row r="51" spans="1:12" ht="29.25">
      <c r="A51" s="6">
        <v>47</v>
      </c>
      <c r="B51" s="7" t="s">
        <v>88</v>
      </c>
      <c r="C51" s="6"/>
      <c r="D51" s="7" t="s">
        <v>95</v>
      </c>
      <c r="E51" s="6" t="s">
        <v>53</v>
      </c>
      <c r="F51" s="7" t="s">
        <v>54</v>
      </c>
      <c r="G51" s="6"/>
      <c r="H51" s="6"/>
      <c r="I51" s="6" t="s">
        <v>21</v>
      </c>
      <c r="J51" s="6" t="s">
        <v>16</v>
      </c>
      <c r="K51" s="6"/>
      <c r="L51" s="6"/>
    </row>
    <row r="52" spans="1:12" ht="29.25">
      <c r="A52" s="6">
        <v>48</v>
      </c>
      <c r="B52" s="7" t="s">
        <v>88</v>
      </c>
      <c r="C52" s="8"/>
      <c r="D52" s="7" t="s">
        <v>96</v>
      </c>
      <c r="E52" s="6" t="s">
        <v>91</v>
      </c>
      <c r="F52" s="7"/>
      <c r="G52" s="6"/>
      <c r="H52" s="6" t="s">
        <v>92</v>
      </c>
      <c r="I52" s="6" t="s">
        <v>21</v>
      </c>
      <c r="J52" s="6" t="s">
        <v>56</v>
      </c>
      <c r="K52" s="6">
        <v>47</v>
      </c>
      <c r="L52" s="6" t="s">
        <v>21</v>
      </c>
    </row>
    <row r="53" spans="1:12" ht="57.75">
      <c r="A53" s="6">
        <v>49</v>
      </c>
      <c r="B53" s="7" t="s">
        <v>88</v>
      </c>
      <c r="C53" s="6"/>
      <c r="D53" t="s">
        <v>97</v>
      </c>
      <c r="E53" s="6" t="s">
        <v>53</v>
      </c>
      <c r="F53" s="7" t="s">
        <v>98</v>
      </c>
      <c r="G53" s="6"/>
      <c r="H53" s="6"/>
      <c r="I53" s="6" t="s">
        <v>21</v>
      </c>
      <c r="J53" s="6" t="s">
        <v>56</v>
      </c>
      <c r="K53" s="6">
        <v>47</v>
      </c>
      <c r="L53" s="6" t="s">
        <v>21</v>
      </c>
    </row>
    <row r="54" spans="1:12" ht="29.25">
      <c r="A54" s="6">
        <v>50</v>
      </c>
      <c r="B54" s="7" t="s">
        <v>88</v>
      </c>
      <c r="C54" s="8"/>
      <c r="D54" s="7" t="s">
        <v>99</v>
      </c>
      <c r="E54" s="6" t="s">
        <v>91</v>
      </c>
      <c r="F54" s="7"/>
      <c r="G54" s="6"/>
      <c r="H54" s="6" t="s">
        <v>92</v>
      </c>
      <c r="I54" s="6" t="s">
        <v>21</v>
      </c>
      <c r="J54" s="6" t="s">
        <v>56</v>
      </c>
      <c r="K54" s="6">
        <v>47</v>
      </c>
      <c r="L54" s="6" t="s">
        <v>21</v>
      </c>
    </row>
    <row r="55" spans="1:12" ht="57.75">
      <c r="A55" s="6">
        <v>51</v>
      </c>
      <c r="B55" s="7" t="s">
        <v>88</v>
      </c>
      <c r="C55" s="6"/>
      <c r="D55" t="s">
        <v>100</v>
      </c>
      <c r="E55" s="6" t="s">
        <v>53</v>
      </c>
      <c r="F55" s="7" t="s">
        <v>98</v>
      </c>
      <c r="G55" s="6"/>
      <c r="H55" s="6"/>
      <c r="I55" s="6" t="s">
        <v>21</v>
      </c>
      <c r="J55" s="6" t="s">
        <v>56</v>
      </c>
      <c r="K55" s="6">
        <v>47</v>
      </c>
      <c r="L55" s="6" t="s">
        <v>21</v>
      </c>
    </row>
    <row r="56" spans="1:12" ht="29.25">
      <c r="A56" s="6">
        <v>52</v>
      </c>
      <c r="B56" s="7" t="s">
        <v>88</v>
      </c>
      <c r="C56" s="8"/>
      <c r="D56" s="7" t="s">
        <v>101</v>
      </c>
      <c r="E56" s="6" t="s">
        <v>91</v>
      </c>
      <c r="F56" s="7"/>
      <c r="G56" s="6"/>
      <c r="H56" s="6" t="s">
        <v>92</v>
      </c>
      <c r="I56" s="6" t="s">
        <v>21</v>
      </c>
      <c r="J56" s="6" t="s">
        <v>56</v>
      </c>
      <c r="K56" s="6">
        <v>47</v>
      </c>
      <c r="L56" s="6" t="s">
        <v>21</v>
      </c>
    </row>
    <row r="57" spans="1:12" ht="57.75">
      <c r="A57" s="6">
        <v>53</v>
      </c>
      <c r="B57" s="7" t="s">
        <v>88</v>
      </c>
      <c r="C57" s="6"/>
      <c r="D57" t="s">
        <v>102</v>
      </c>
      <c r="E57" s="6" t="s">
        <v>53</v>
      </c>
      <c r="F57" s="7" t="s">
        <v>98</v>
      </c>
      <c r="G57" s="6"/>
      <c r="H57" s="6"/>
      <c r="I57" s="6" t="s">
        <v>21</v>
      </c>
      <c r="J57" s="6" t="s">
        <v>56</v>
      </c>
      <c r="K57" s="6">
        <v>47</v>
      </c>
      <c r="L57" s="6" t="s">
        <v>21</v>
      </c>
    </row>
    <row r="58" spans="1:12" ht="29.25">
      <c r="A58" s="6">
        <v>54</v>
      </c>
      <c r="B58" s="7" t="s">
        <v>103</v>
      </c>
      <c r="C58" s="6" t="s">
        <v>104</v>
      </c>
      <c r="D58" s="7" t="s">
        <v>105</v>
      </c>
      <c r="E58" s="6" t="s">
        <v>91</v>
      </c>
      <c r="F58" s="7"/>
      <c r="G58" s="6"/>
      <c r="H58" s="7" t="s">
        <v>106</v>
      </c>
      <c r="I58" s="6" t="s">
        <v>21</v>
      </c>
      <c r="J58" s="6" t="s">
        <v>16</v>
      </c>
      <c r="K58" s="6"/>
      <c r="L58" s="6"/>
    </row>
    <row r="59" spans="1:12" ht="29.25">
      <c r="A59" s="6">
        <v>55</v>
      </c>
      <c r="B59" s="7" t="s">
        <v>103</v>
      </c>
      <c r="C59" s="6" t="s">
        <v>104</v>
      </c>
      <c r="D59" s="7" t="s">
        <v>107</v>
      </c>
      <c r="E59" s="6" t="s">
        <v>91</v>
      </c>
      <c r="F59" s="7"/>
      <c r="G59" s="6"/>
      <c r="H59" s="7" t="s">
        <v>106</v>
      </c>
      <c r="I59" s="6" t="s">
        <v>21</v>
      </c>
      <c r="J59" s="6" t="s">
        <v>16</v>
      </c>
      <c r="K59" s="6"/>
      <c r="L59" s="6"/>
    </row>
    <row r="60" spans="1:12" ht="29.25">
      <c r="A60" s="6">
        <v>56</v>
      </c>
      <c r="B60" s="7" t="s">
        <v>103</v>
      </c>
      <c r="C60" s="6" t="s">
        <v>104</v>
      </c>
      <c r="D60" s="7" t="s">
        <v>108</v>
      </c>
      <c r="E60" s="6" t="s">
        <v>91</v>
      </c>
      <c r="F60" s="7"/>
      <c r="G60" s="6"/>
      <c r="H60" s="7" t="s">
        <v>106</v>
      </c>
      <c r="I60" s="6" t="s">
        <v>21</v>
      </c>
      <c r="J60" s="6" t="s">
        <v>16</v>
      </c>
      <c r="K60" s="6"/>
      <c r="L60" s="6"/>
    </row>
    <row r="61" spans="1:12" ht="216.75">
      <c r="A61" s="6">
        <v>57</v>
      </c>
      <c r="B61" s="7" t="s">
        <v>109</v>
      </c>
      <c r="C61" s="6"/>
      <c r="D61" s="7" t="s">
        <v>110</v>
      </c>
      <c r="E61" s="6" t="s">
        <v>61</v>
      </c>
      <c r="F61" s="7" t="s">
        <v>111</v>
      </c>
      <c r="G61" s="6"/>
      <c r="H61" s="6"/>
      <c r="I61" s="6" t="s">
        <v>21</v>
      </c>
      <c r="J61" s="6" t="s">
        <v>16</v>
      </c>
      <c r="K61" s="6"/>
      <c r="L61" s="6"/>
    </row>
    <row r="62" spans="1:12" ht="29.25">
      <c r="A62" s="6">
        <v>58</v>
      </c>
      <c r="B62" s="7" t="s">
        <v>109</v>
      </c>
      <c r="C62" s="6"/>
      <c r="D62" s="7" t="s">
        <v>112</v>
      </c>
      <c r="E62" s="6" t="s">
        <v>91</v>
      </c>
      <c r="F62" s="7"/>
      <c r="G62" s="6"/>
      <c r="H62" s="7" t="s">
        <v>106</v>
      </c>
      <c r="I62" s="6" t="s">
        <v>21</v>
      </c>
      <c r="J62" s="6" t="s">
        <v>56</v>
      </c>
      <c r="K62" s="6">
        <v>57</v>
      </c>
      <c r="L62" s="6" t="s">
        <v>113</v>
      </c>
    </row>
    <row r="63" spans="1:12" ht="29.25">
      <c r="A63" s="6">
        <v>59</v>
      </c>
      <c r="B63" s="7" t="s">
        <v>109</v>
      </c>
      <c r="C63" s="6"/>
      <c r="D63" s="7" t="s">
        <v>114</v>
      </c>
      <c r="E63" s="6" t="s">
        <v>91</v>
      </c>
      <c r="F63" s="7"/>
      <c r="G63" s="6"/>
      <c r="H63" s="7" t="s">
        <v>106</v>
      </c>
      <c r="I63" s="6" t="s">
        <v>21</v>
      </c>
      <c r="J63" s="6" t="s">
        <v>56</v>
      </c>
      <c r="K63" s="6">
        <v>57</v>
      </c>
      <c r="L63" s="6" t="s">
        <v>115</v>
      </c>
    </row>
    <row r="64" spans="1:12" ht="29.25">
      <c r="A64" s="6">
        <v>60</v>
      </c>
      <c r="B64" s="7" t="s">
        <v>109</v>
      </c>
      <c r="C64" s="6"/>
      <c r="D64" s="7" t="s">
        <v>116</v>
      </c>
      <c r="E64" s="6" t="s">
        <v>91</v>
      </c>
      <c r="F64" s="7"/>
      <c r="G64" s="6"/>
      <c r="H64" s="7" t="s">
        <v>106</v>
      </c>
      <c r="I64" s="6" t="s">
        <v>21</v>
      </c>
      <c r="J64" s="6" t="s">
        <v>56</v>
      </c>
      <c r="K64" s="6">
        <v>57</v>
      </c>
      <c r="L64" s="6" t="s">
        <v>117</v>
      </c>
    </row>
    <row r="65" spans="1:12" ht="29.25">
      <c r="A65" s="6">
        <v>61</v>
      </c>
      <c r="B65" s="7" t="s">
        <v>109</v>
      </c>
      <c r="C65" s="6"/>
      <c r="D65" s="7" t="s">
        <v>118</v>
      </c>
      <c r="E65" s="6" t="s">
        <v>91</v>
      </c>
      <c r="F65" s="7"/>
      <c r="G65" s="6"/>
      <c r="H65" s="7" t="s">
        <v>106</v>
      </c>
      <c r="I65" s="6" t="s">
        <v>21</v>
      </c>
      <c r="J65" s="6" t="s">
        <v>56</v>
      </c>
      <c r="K65" s="6">
        <v>57</v>
      </c>
      <c r="L65" s="6" t="s">
        <v>119</v>
      </c>
    </row>
    <row r="66" spans="1:12" ht="29.25">
      <c r="A66" s="6">
        <v>62</v>
      </c>
      <c r="B66" s="7" t="s">
        <v>109</v>
      </c>
      <c r="C66" s="6"/>
      <c r="D66" s="7" t="s">
        <v>120</v>
      </c>
      <c r="E66" s="6" t="s">
        <v>91</v>
      </c>
      <c r="F66" s="7"/>
      <c r="G66" s="6"/>
      <c r="H66" s="7" t="s">
        <v>106</v>
      </c>
      <c r="I66" s="6" t="s">
        <v>21</v>
      </c>
      <c r="J66" s="6" t="s">
        <v>56</v>
      </c>
      <c r="K66" s="6">
        <v>57</v>
      </c>
      <c r="L66" s="6" t="s">
        <v>121</v>
      </c>
    </row>
    <row r="67" spans="1:12" ht="29.25">
      <c r="A67" s="6">
        <v>63</v>
      </c>
      <c r="B67" s="7" t="s">
        <v>109</v>
      </c>
      <c r="C67" s="6"/>
      <c r="D67" s="7" t="s">
        <v>122</v>
      </c>
      <c r="E67" s="6" t="s">
        <v>91</v>
      </c>
      <c r="F67" s="7"/>
      <c r="G67" s="6"/>
      <c r="H67" s="7" t="s">
        <v>106</v>
      </c>
      <c r="I67" s="6" t="s">
        <v>21</v>
      </c>
      <c r="J67" s="6" t="s">
        <v>56</v>
      </c>
      <c r="K67" s="6">
        <v>57</v>
      </c>
      <c r="L67" s="6" t="s">
        <v>123</v>
      </c>
    </row>
    <row r="68" spans="1:12" ht="29.25">
      <c r="A68" s="6">
        <v>64</v>
      </c>
      <c r="B68" s="7" t="s">
        <v>109</v>
      </c>
      <c r="C68" s="6"/>
      <c r="D68" s="7" t="s">
        <v>124</v>
      </c>
      <c r="E68" s="6" t="s">
        <v>91</v>
      </c>
      <c r="F68" s="7"/>
      <c r="G68" s="6"/>
      <c r="H68" s="7" t="s">
        <v>106</v>
      </c>
      <c r="I68" s="6" t="s">
        <v>21</v>
      </c>
      <c r="J68" s="6" t="s">
        <v>56</v>
      </c>
      <c r="K68" s="6">
        <v>57</v>
      </c>
      <c r="L68" s="6" t="s">
        <v>125</v>
      </c>
    </row>
    <row r="69" spans="1:12" ht="29.25">
      <c r="A69" s="6">
        <v>65</v>
      </c>
      <c r="B69" s="7" t="s">
        <v>109</v>
      </c>
      <c r="C69" s="6"/>
      <c r="D69" s="7" t="s">
        <v>126</v>
      </c>
      <c r="E69" s="6" t="s">
        <v>91</v>
      </c>
      <c r="F69" s="7"/>
      <c r="G69" s="6"/>
      <c r="H69" s="7" t="s">
        <v>106</v>
      </c>
      <c r="I69" s="6" t="s">
        <v>21</v>
      </c>
      <c r="J69" s="6" t="s">
        <v>56</v>
      </c>
      <c r="K69" s="6">
        <v>57</v>
      </c>
      <c r="L69" s="6" t="s">
        <v>127</v>
      </c>
    </row>
    <row r="70" spans="1:12" ht="29.25">
      <c r="A70" s="6">
        <v>66</v>
      </c>
      <c r="B70" s="7" t="s">
        <v>109</v>
      </c>
      <c r="C70" s="6"/>
      <c r="D70" s="7" t="s">
        <v>128</v>
      </c>
      <c r="E70" s="6" t="s">
        <v>91</v>
      </c>
      <c r="F70" s="7"/>
      <c r="G70" s="6"/>
      <c r="H70" s="7" t="s">
        <v>106</v>
      </c>
      <c r="I70" s="6" t="s">
        <v>21</v>
      </c>
      <c r="J70" s="6" t="s">
        <v>56</v>
      </c>
      <c r="K70" s="6">
        <v>57</v>
      </c>
      <c r="L70" s="6" t="s">
        <v>129</v>
      </c>
    </row>
    <row r="71" spans="1:12" ht="29.25">
      <c r="A71" s="6">
        <v>67</v>
      </c>
      <c r="B71" s="7" t="s">
        <v>109</v>
      </c>
      <c r="C71" s="6"/>
      <c r="D71" s="7" t="s">
        <v>130</v>
      </c>
      <c r="E71" s="6" t="s">
        <v>91</v>
      </c>
      <c r="F71" s="7"/>
      <c r="G71" s="6"/>
      <c r="H71" s="7" t="s">
        <v>106</v>
      </c>
      <c r="I71" s="6" t="s">
        <v>21</v>
      </c>
      <c r="J71" s="6" t="s">
        <v>56</v>
      </c>
      <c r="K71" s="6">
        <v>57</v>
      </c>
      <c r="L71" s="6" t="s">
        <v>131</v>
      </c>
    </row>
    <row r="72" spans="1:12" ht="29.25">
      <c r="A72" s="6">
        <v>68</v>
      </c>
      <c r="B72" s="7" t="s">
        <v>109</v>
      </c>
      <c r="C72" s="6"/>
      <c r="D72" s="7" t="s">
        <v>132</v>
      </c>
      <c r="E72" s="6" t="s">
        <v>91</v>
      </c>
      <c r="F72" s="7"/>
      <c r="G72" s="6"/>
      <c r="H72" s="7" t="s">
        <v>106</v>
      </c>
      <c r="I72" s="6" t="s">
        <v>21</v>
      </c>
      <c r="J72" s="6" t="s">
        <v>56</v>
      </c>
      <c r="K72" s="6">
        <v>57</v>
      </c>
      <c r="L72" s="6" t="s">
        <v>133</v>
      </c>
    </row>
    <row r="73" spans="1:12" ht="72.75">
      <c r="A73" s="6">
        <v>69</v>
      </c>
      <c r="B73" s="7" t="s">
        <v>134</v>
      </c>
      <c r="C73" s="6"/>
      <c r="D73" s="7" t="s">
        <v>135</v>
      </c>
      <c r="E73" s="6" t="s">
        <v>61</v>
      </c>
      <c r="F73" s="7" t="s">
        <v>136</v>
      </c>
      <c r="G73" s="6"/>
      <c r="H73" s="6"/>
      <c r="I73" s="6" t="s">
        <v>21</v>
      </c>
      <c r="J73" s="6" t="s">
        <v>16</v>
      </c>
      <c r="K73" s="6"/>
      <c r="L73" s="6"/>
    </row>
    <row r="74" spans="1:12" ht="29.25">
      <c r="A74" s="6">
        <v>70</v>
      </c>
      <c r="B74" s="7" t="s">
        <v>134</v>
      </c>
      <c r="C74" s="6"/>
      <c r="D74" s="7" t="s">
        <v>137</v>
      </c>
      <c r="E74" s="6" t="s">
        <v>91</v>
      </c>
      <c r="F74" s="7"/>
      <c r="G74" s="6"/>
      <c r="H74" s="7" t="s">
        <v>106</v>
      </c>
      <c r="I74" s="6" t="s">
        <v>21</v>
      </c>
      <c r="J74" s="6" t="s">
        <v>56</v>
      </c>
      <c r="K74" s="6">
        <v>69</v>
      </c>
      <c r="L74" s="6" t="s">
        <v>138</v>
      </c>
    </row>
    <row r="75" spans="1:12" ht="29.25">
      <c r="A75" s="6">
        <v>71</v>
      </c>
      <c r="B75" s="7" t="s">
        <v>134</v>
      </c>
      <c r="C75" s="6"/>
      <c r="D75" s="7" t="s">
        <v>139</v>
      </c>
      <c r="E75" s="6" t="s">
        <v>91</v>
      </c>
      <c r="F75" s="7"/>
      <c r="G75" s="6"/>
      <c r="H75" s="7" t="s">
        <v>106</v>
      </c>
      <c r="I75" s="6" t="s">
        <v>21</v>
      </c>
      <c r="J75" s="6" t="s">
        <v>56</v>
      </c>
      <c r="K75" s="6">
        <v>69</v>
      </c>
      <c r="L75" s="6" t="s">
        <v>140</v>
      </c>
    </row>
    <row r="76" spans="1:12" ht="29.25">
      <c r="A76" s="6">
        <v>72</v>
      </c>
      <c r="B76" s="7" t="s">
        <v>134</v>
      </c>
      <c r="C76" s="6"/>
      <c r="D76" s="7" t="s">
        <v>141</v>
      </c>
      <c r="E76" s="6" t="s">
        <v>91</v>
      </c>
      <c r="F76" s="7"/>
      <c r="G76" s="6"/>
      <c r="H76" s="7" t="s">
        <v>106</v>
      </c>
      <c r="I76" s="6" t="s">
        <v>21</v>
      </c>
      <c r="J76" s="6" t="s">
        <v>56</v>
      </c>
      <c r="K76" s="6">
        <v>69</v>
      </c>
      <c r="L76" s="6" t="s">
        <v>142</v>
      </c>
    </row>
    <row r="77" spans="1:12">
      <c r="A77" s="6">
        <v>73</v>
      </c>
      <c r="B77" s="7" t="s">
        <v>134</v>
      </c>
      <c r="C77" s="6"/>
      <c r="D77" s="7" t="s">
        <v>143</v>
      </c>
      <c r="E77" s="6" t="s">
        <v>23</v>
      </c>
      <c r="F77" s="7"/>
      <c r="G77" s="6"/>
      <c r="H77" s="7" t="s">
        <v>144</v>
      </c>
      <c r="I77" s="6" t="s">
        <v>21</v>
      </c>
      <c r="J77" s="6" t="s">
        <v>56</v>
      </c>
      <c r="K77" s="6">
        <v>69</v>
      </c>
      <c r="L77" s="6" t="s">
        <v>145</v>
      </c>
    </row>
    <row r="78" spans="1:12" ht="29.25">
      <c r="A78" s="6">
        <v>74</v>
      </c>
      <c r="B78" s="7" t="s">
        <v>134</v>
      </c>
      <c r="C78" s="6"/>
      <c r="D78" s="7" t="s">
        <v>146</v>
      </c>
      <c r="E78" s="6" t="s">
        <v>91</v>
      </c>
      <c r="F78" s="7"/>
      <c r="G78" s="6"/>
      <c r="H78" s="7" t="s">
        <v>106</v>
      </c>
      <c r="I78" s="6" t="s">
        <v>21</v>
      </c>
      <c r="J78" s="6" t="s">
        <v>56</v>
      </c>
      <c r="K78" s="6">
        <v>69</v>
      </c>
      <c r="L78" s="6" t="s">
        <v>145</v>
      </c>
    </row>
    <row r="79" spans="1:12" ht="29.25">
      <c r="A79" s="6">
        <v>75</v>
      </c>
      <c r="B79" s="7" t="s">
        <v>147</v>
      </c>
      <c r="C79" s="7" t="s">
        <v>148</v>
      </c>
      <c r="D79" s="7" t="s">
        <v>149</v>
      </c>
      <c r="E79" s="6"/>
      <c r="F79" s="7"/>
      <c r="G79" s="6"/>
      <c r="H79" s="6"/>
      <c r="I79" s="6"/>
      <c r="J79" s="6" t="s">
        <v>16</v>
      </c>
      <c r="K79" s="6"/>
      <c r="L79" s="6"/>
    </row>
    <row r="80" spans="1:12" ht="29.25">
      <c r="A80" s="6">
        <v>76</v>
      </c>
      <c r="B80" s="7" t="s">
        <v>147</v>
      </c>
      <c r="C80" s="7" t="s">
        <v>148</v>
      </c>
      <c r="D80" s="7" t="s">
        <v>150</v>
      </c>
      <c r="E80" s="6" t="s">
        <v>23</v>
      </c>
      <c r="F80" s="7"/>
      <c r="G80" s="6"/>
      <c r="H80" s="6" t="s">
        <v>151</v>
      </c>
      <c r="I80" s="6" t="s">
        <v>21</v>
      </c>
      <c r="J80" s="6" t="s">
        <v>16</v>
      </c>
      <c r="K80" s="6"/>
      <c r="L80" s="6"/>
    </row>
    <row r="81" spans="1:12">
      <c r="A81" s="6">
        <v>77</v>
      </c>
      <c r="B81" s="7" t="s">
        <v>147</v>
      </c>
      <c r="C81" s="7" t="s">
        <v>148</v>
      </c>
      <c r="D81" s="7" t="s">
        <v>152</v>
      </c>
      <c r="E81" s="6" t="s">
        <v>23</v>
      </c>
      <c r="F81" s="7"/>
      <c r="G81" s="6"/>
      <c r="H81" s="6" t="s">
        <v>151</v>
      </c>
      <c r="I81" s="6" t="s">
        <v>21</v>
      </c>
      <c r="J81" s="6" t="s">
        <v>16</v>
      </c>
      <c r="K81" s="6"/>
      <c r="L81" s="6"/>
    </row>
    <row r="82" spans="1:12">
      <c r="A82" s="6">
        <v>78</v>
      </c>
      <c r="B82" s="7" t="s">
        <v>147</v>
      </c>
      <c r="C82" s="7" t="s">
        <v>148</v>
      </c>
      <c r="D82" s="7" t="s">
        <v>153</v>
      </c>
      <c r="E82" s="6" t="s">
        <v>23</v>
      </c>
      <c r="F82" s="7"/>
      <c r="G82" s="6"/>
      <c r="H82" s="6" t="s">
        <v>151</v>
      </c>
      <c r="I82" s="6" t="s">
        <v>21</v>
      </c>
      <c r="J82" s="6" t="s">
        <v>16</v>
      </c>
      <c r="K82" s="6"/>
      <c r="L82" s="6"/>
    </row>
    <row r="83" spans="1:12" ht="29.25">
      <c r="A83" s="6">
        <v>79</v>
      </c>
      <c r="B83" s="7" t="s">
        <v>147</v>
      </c>
      <c r="C83" s="7" t="s">
        <v>148</v>
      </c>
      <c r="D83" s="7" t="s">
        <v>154</v>
      </c>
      <c r="E83" s="6" t="s">
        <v>23</v>
      </c>
      <c r="F83" s="7"/>
      <c r="G83" s="6"/>
      <c r="H83" s="6" t="s">
        <v>151</v>
      </c>
      <c r="I83" s="6" t="s">
        <v>21</v>
      </c>
      <c r="J83" s="6" t="s">
        <v>16</v>
      </c>
      <c r="K83" s="6"/>
      <c r="L83" s="6"/>
    </row>
    <row r="84" spans="1:12">
      <c r="A84" s="6">
        <v>80</v>
      </c>
      <c r="B84" s="7" t="s">
        <v>147</v>
      </c>
      <c r="C84" s="7" t="s">
        <v>148</v>
      </c>
      <c r="D84" s="7" t="s">
        <v>155</v>
      </c>
      <c r="E84" s="6" t="s">
        <v>23</v>
      </c>
      <c r="F84" s="7"/>
      <c r="G84" s="6"/>
      <c r="H84" s="6" t="s">
        <v>151</v>
      </c>
      <c r="I84" s="6" t="s">
        <v>21</v>
      </c>
      <c r="J84" s="6" t="s">
        <v>16</v>
      </c>
      <c r="K84" s="6"/>
      <c r="L84" s="6"/>
    </row>
    <row r="85" spans="1:12">
      <c r="A85" s="6">
        <v>81</v>
      </c>
      <c r="B85" s="7" t="s">
        <v>147</v>
      </c>
      <c r="C85" s="7" t="s">
        <v>148</v>
      </c>
      <c r="D85" s="7" t="s">
        <v>156</v>
      </c>
      <c r="E85" s="6" t="s">
        <v>23</v>
      </c>
      <c r="F85" s="7"/>
      <c r="G85" s="6"/>
      <c r="H85" s="6" t="s">
        <v>151</v>
      </c>
      <c r="I85" s="6" t="s">
        <v>21</v>
      </c>
      <c r="J85" s="6" t="s">
        <v>16</v>
      </c>
      <c r="K85" s="6"/>
      <c r="L85" s="6"/>
    </row>
    <row r="86" spans="1:12" ht="43.5">
      <c r="A86" s="6">
        <v>82</v>
      </c>
      <c r="B86" s="7" t="s">
        <v>157</v>
      </c>
      <c r="C86" s="6"/>
      <c r="D86" s="7" t="s">
        <v>158</v>
      </c>
      <c r="E86" s="6" t="s">
        <v>53</v>
      </c>
      <c r="F86" s="7" t="s">
        <v>159</v>
      </c>
      <c r="G86" s="6"/>
      <c r="H86" s="6"/>
      <c r="I86" s="6" t="s">
        <v>21</v>
      </c>
      <c r="J86" s="6" t="s">
        <v>16</v>
      </c>
      <c r="K86" s="6"/>
      <c r="L86" s="6"/>
    </row>
    <row r="87" spans="1:12">
      <c r="A87" s="6">
        <v>83</v>
      </c>
      <c r="B87" s="7" t="s">
        <v>157</v>
      </c>
      <c r="C87" s="6"/>
      <c r="D87" s="7" t="s">
        <v>160</v>
      </c>
      <c r="E87" s="6" t="s">
        <v>31</v>
      </c>
      <c r="F87" s="7"/>
      <c r="G87" s="6" t="s">
        <v>161</v>
      </c>
      <c r="H87" s="6"/>
      <c r="I87" s="6" t="s">
        <v>21</v>
      </c>
      <c r="J87" s="6" t="s">
        <v>56</v>
      </c>
      <c r="K87" s="6">
        <v>82</v>
      </c>
      <c r="L87" s="6" t="s">
        <v>21</v>
      </c>
    </row>
    <row r="88" spans="1:12" ht="43.5">
      <c r="A88" s="6">
        <v>84</v>
      </c>
      <c r="B88" s="7" t="s">
        <v>162</v>
      </c>
      <c r="C88" s="8" t="s">
        <v>163</v>
      </c>
      <c r="D88" s="7" t="s">
        <v>164</v>
      </c>
      <c r="E88" s="6"/>
      <c r="F88" s="7"/>
      <c r="G88" s="6"/>
      <c r="H88" s="6"/>
      <c r="I88" s="6"/>
      <c r="J88" s="6" t="s">
        <v>16</v>
      </c>
      <c r="K88" s="6"/>
      <c r="L88" s="6"/>
    </row>
    <row r="89" spans="1:12">
      <c r="A89" s="6">
        <v>85</v>
      </c>
      <c r="B89" s="7" t="s">
        <v>162</v>
      </c>
      <c r="C89" s="6" t="s">
        <v>165</v>
      </c>
      <c r="D89" s="7" t="s">
        <v>166</v>
      </c>
      <c r="E89" s="6" t="s">
        <v>23</v>
      </c>
      <c r="F89" s="7"/>
      <c r="G89" s="6"/>
      <c r="H89" s="6" t="s">
        <v>167</v>
      </c>
      <c r="I89" s="6" t="s">
        <v>27</v>
      </c>
      <c r="J89" s="6" t="s">
        <v>16</v>
      </c>
      <c r="K89" s="6"/>
      <c r="L89" s="6"/>
    </row>
    <row r="90" spans="1:12" ht="29.25">
      <c r="A90" s="6">
        <v>86</v>
      </c>
      <c r="B90" s="7" t="s">
        <v>162</v>
      </c>
      <c r="C90" s="6" t="s">
        <v>168</v>
      </c>
      <c r="D90" s="7" t="s">
        <v>169</v>
      </c>
      <c r="E90" s="6" t="s">
        <v>53</v>
      </c>
      <c r="F90" s="7" t="s">
        <v>54</v>
      </c>
      <c r="G90" s="6" t="s">
        <v>170</v>
      </c>
      <c r="H90" s="6" t="s">
        <v>171</v>
      </c>
      <c r="I90" s="6" t="s">
        <v>21</v>
      </c>
      <c r="J90" s="6" t="s">
        <v>16</v>
      </c>
      <c r="K90" s="6"/>
      <c r="L90" s="6"/>
    </row>
    <row r="91" spans="1:12" ht="29.25">
      <c r="A91" s="6">
        <v>87</v>
      </c>
      <c r="B91" s="7" t="s">
        <v>162</v>
      </c>
      <c r="C91" s="6" t="s">
        <v>168</v>
      </c>
      <c r="D91" s="7" t="s">
        <v>172</v>
      </c>
      <c r="E91" s="6" t="s">
        <v>53</v>
      </c>
      <c r="F91" s="7" t="s">
        <v>54</v>
      </c>
      <c r="G91" s="6" t="s">
        <v>170</v>
      </c>
      <c r="H91" s="6" t="s">
        <v>171</v>
      </c>
      <c r="I91" s="6" t="s">
        <v>21</v>
      </c>
      <c r="J91" s="6" t="s">
        <v>16</v>
      </c>
      <c r="K91" s="6"/>
      <c r="L91" s="6"/>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0BAAB-2317-4E9C-86C3-A7E2934EBD2A}">
  <dimension ref="A1:L108"/>
  <sheetViews>
    <sheetView topLeftCell="F1" zoomScale="115" zoomScaleNormal="115" workbookViewId="0">
      <pane ySplit="4" topLeftCell="D61" activePane="bottomLeft" state="frozen"/>
      <selection pane="bottomLeft" activeCell="D35" sqref="D35"/>
    </sheetView>
  </sheetViews>
  <sheetFormatPr defaultRowHeight="15"/>
  <cols>
    <col min="1" max="1" width="4.5703125" customWidth="1"/>
    <col min="2" max="2" width="17.7109375" style="3" customWidth="1"/>
    <col min="3" max="3" width="22.28515625" bestFit="1" customWidth="1"/>
    <col min="4" max="4" width="67.85546875" style="3" bestFit="1" customWidth="1"/>
    <col min="5" max="5" width="20.7109375" bestFit="1" customWidth="1"/>
    <col min="6" max="6" width="28.5703125" bestFit="1" customWidth="1"/>
    <col min="7" max="7" width="26.28515625" customWidth="1"/>
    <col min="8" max="8" width="40.85546875" bestFit="1" customWidth="1"/>
    <col min="9" max="9" width="17.85546875" customWidth="1"/>
    <col min="10" max="10" width="41.5703125" customWidth="1"/>
    <col min="11" max="11" width="18.28515625" customWidth="1"/>
    <col min="12" max="12" width="27" customWidth="1"/>
  </cols>
  <sheetData>
    <row r="1" spans="1:12">
      <c r="C1" t="str">
        <f>COUNTA(A5:A108)&amp;" velden"</f>
        <v>73 velden</v>
      </c>
      <c r="D1" t="s">
        <v>173</v>
      </c>
      <c r="E1" t="str">
        <f>COUNTA(H15:H75)&amp;" velden met validatie"</f>
        <v>42 velden met validatie</v>
      </c>
      <c r="F1" t="str">
        <f>COUNTA(K5:K75)&amp;" velden met voorgaande vraag"</f>
        <v>35 velden met voorgaande vraag</v>
      </c>
    </row>
    <row r="4" spans="1:12">
      <c r="A4" s="1" t="s">
        <v>1</v>
      </c>
      <c r="B4" s="2" t="s">
        <v>2</v>
      </c>
      <c r="C4" s="1" t="s">
        <v>3</v>
      </c>
      <c r="D4" s="2" t="s">
        <v>4</v>
      </c>
      <c r="E4" s="1" t="s">
        <v>5</v>
      </c>
      <c r="F4" s="1" t="s">
        <v>6</v>
      </c>
      <c r="G4" s="1" t="s">
        <v>7</v>
      </c>
      <c r="H4" s="1" t="s">
        <v>174</v>
      </c>
      <c r="I4" s="1" t="s">
        <v>9</v>
      </c>
      <c r="J4" s="1" t="s">
        <v>10</v>
      </c>
      <c r="K4" s="1" t="s">
        <v>11</v>
      </c>
      <c r="L4" s="1" t="s">
        <v>12</v>
      </c>
    </row>
    <row r="5" spans="1:12" ht="30">
      <c r="A5" s="6">
        <v>1</v>
      </c>
      <c r="B5" s="7" t="s">
        <v>175</v>
      </c>
      <c r="C5" s="6"/>
      <c r="D5" s="7" t="s">
        <v>176</v>
      </c>
      <c r="E5" s="9"/>
      <c r="F5" s="9"/>
      <c r="G5" s="9"/>
      <c r="H5" s="9"/>
      <c r="I5" s="9"/>
      <c r="J5" s="6" t="s">
        <v>16</v>
      </c>
      <c r="K5" s="9"/>
      <c r="L5" s="9"/>
    </row>
    <row r="6" spans="1:12" ht="72.75">
      <c r="A6" s="6">
        <v>2</v>
      </c>
      <c r="B6" s="7" t="s">
        <v>175</v>
      </c>
      <c r="C6" s="6"/>
      <c r="D6" s="7" t="s">
        <v>177</v>
      </c>
      <c r="E6" s="6" t="s">
        <v>53</v>
      </c>
      <c r="F6" s="7" t="s">
        <v>178</v>
      </c>
      <c r="G6" s="6"/>
      <c r="H6" s="6"/>
      <c r="I6" s="6" t="s">
        <v>21</v>
      </c>
      <c r="J6" s="6" t="s">
        <v>16</v>
      </c>
      <c r="K6" s="9"/>
      <c r="L6" s="9"/>
    </row>
    <row r="7" spans="1:12">
      <c r="A7" s="6">
        <v>3</v>
      </c>
      <c r="B7" s="7" t="s">
        <v>179</v>
      </c>
      <c r="C7" s="6" t="s">
        <v>14</v>
      </c>
      <c r="D7" s="7" t="s">
        <v>22</v>
      </c>
      <c r="E7" s="6" t="s">
        <v>23</v>
      </c>
      <c r="F7" s="6"/>
      <c r="G7" s="6"/>
      <c r="H7" s="6" t="s">
        <v>24</v>
      </c>
      <c r="I7" s="6" t="s">
        <v>21</v>
      </c>
      <c r="J7" s="6" t="s">
        <v>16</v>
      </c>
      <c r="K7" s="6"/>
      <c r="L7" s="6"/>
    </row>
    <row r="8" spans="1:12">
      <c r="A8" s="6">
        <v>4</v>
      </c>
      <c r="B8" s="7" t="s">
        <v>179</v>
      </c>
      <c r="C8" s="6" t="s">
        <v>14</v>
      </c>
      <c r="D8" s="7" t="s">
        <v>25</v>
      </c>
      <c r="E8" s="6" t="s">
        <v>23</v>
      </c>
      <c r="F8" s="6"/>
      <c r="G8" s="6"/>
      <c r="H8" s="6" t="s">
        <v>26</v>
      </c>
      <c r="I8" s="6" t="s">
        <v>27</v>
      </c>
      <c r="J8" s="6" t="s">
        <v>16</v>
      </c>
      <c r="K8" s="6"/>
      <c r="L8" s="6"/>
    </row>
    <row r="9" spans="1:12">
      <c r="A9" s="6">
        <v>5</v>
      </c>
      <c r="B9" s="7" t="s">
        <v>179</v>
      </c>
      <c r="C9" s="6" t="s">
        <v>14</v>
      </c>
      <c r="D9" s="7" t="s">
        <v>28</v>
      </c>
      <c r="E9" s="6" t="s">
        <v>23</v>
      </c>
      <c r="F9" s="6"/>
      <c r="G9" s="6"/>
      <c r="H9" s="6" t="s">
        <v>29</v>
      </c>
      <c r="I9" s="6" t="s">
        <v>21</v>
      </c>
      <c r="J9" s="6" t="s">
        <v>16</v>
      </c>
      <c r="K9" s="6"/>
      <c r="L9" s="6"/>
    </row>
    <row r="10" spans="1:12">
      <c r="A10" s="6">
        <v>6</v>
      </c>
      <c r="B10" s="7" t="s">
        <v>179</v>
      </c>
      <c r="C10" s="6" t="s">
        <v>14</v>
      </c>
      <c r="D10" s="7" t="s">
        <v>30</v>
      </c>
      <c r="E10" s="6" t="s">
        <v>31</v>
      </c>
      <c r="F10" s="6"/>
      <c r="G10" s="6"/>
      <c r="H10" s="6" t="s">
        <v>32</v>
      </c>
      <c r="I10" s="6" t="s">
        <v>21</v>
      </c>
      <c r="J10" s="6" t="s">
        <v>16</v>
      </c>
      <c r="K10" s="6"/>
      <c r="L10" s="6"/>
    </row>
    <row r="11" spans="1:12">
      <c r="A11" s="6">
        <v>7</v>
      </c>
      <c r="B11" s="7" t="s">
        <v>179</v>
      </c>
      <c r="C11" s="6" t="s">
        <v>33</v>
      </c>
      <c r="D11" s="7" t="s">
        <v>34</v>
      </c>
      <c r="E11" s="6" t="s">
        <v>23</v>
      </c>
      <c r="F11" s="6"/>
      <c r="G11" s="6"/>
      <c r="H11" s="6" t="s">
        <v>35</v>
      </c>
      <c r="I11" s="6" t="s">
        <v>21</v>
      </c>
      <c r="J11" s="6" t="s">
        <v>16</v>
      </c>
      <c r="K11" s="6"/>
      <c r="L11" s="6"/>
    </row>
    <row r="12" spans="1:12" ht="60">
      <c r="A12" s="6">
        <v>8</v>
      </c>
      <c r="B12" s="7" t="s">
        <v>179</v>
      </c>
      <c r="C12" s="6" t="s">
        <v>33</v>
      </c>
      <c r="D12" s="7" t="s">
        <v>77</v>
      </c>
      <c r="E12" s="6" t="s">
        <v>18</v>
      </c>
      <c r="F12" s="6"/>
      <c r="G12" s="6"/>
      <c r="H12" s="7" t="s">
        <v>37</v>
      </c>
      <c r="I12" s="6" t="s">
        <v>21</v>
      </c>
      <c r="J12" s="6" t="s">
        <v>16</v>
      </c>
      <c r="K12" s="6"/>
      <c r="L12" s="6"/>
    </row>
    <row r="13" spans="1:12">
      <c r="A13" s="6">
        <v>9</v>
      </c>
      <c r="B13" s="7" t="s">
        <v>179</v>
      </c>
      <c r="C13" s="6" t="s">
        <v>33</v>
      </c>
      <c r="D13" s="7" t="s">
        <v>38</v>
      </c>
      <c r="E13" s="6" t="s">
        <v>23</v>
      </c>
      <c r="F13" s="6"/>
      <c r="G13" s="6"/>
      <c r="H13" s="6" t="s">
        <v>39</v>
      </c>
      <c r="I13" s="6" t="s">
        <v>27</v>
      </c>
      <c r="J13" s="6" t="s">
        <v>16</v>
      </c>
      <c r="K13" s="6"/>
      <c r="L13" s="6"/>
    </row>
    <row r="14" spans="1:12">
      <c r="A14" s="6">
        <v>10</v>
      </c>
      <c r="B14" s="7" t="s">
        <v>179</v>
      </c>
      <c r="C14" s="6" t="s">
        <v>33</v>
      </c>
      <c r="D14" s="7" t="s">
        <v>40</v>
      </c>
      <c r="E14" s="6" t="s">
        <v>23</v>
      </c>
      <c r="F14" s="6"/>
      <c r="G14" s="6"/>
      <c r="H14" s="6" t="s">
        <v>41</v>
      </c>
      <c r="I14" s="6" t="s">
        <v>27</v>
      </c>
      <c r="J14" s="6" t="s">
        <v>16</v>
      </c>
      <c r="K14" s="6"/>
      <c r="L14" s="6"/>
    </row>
    <row r="15" spans="1:12">
      <c r="A15" s="6">
        <v>11</v>
      </c>
      <c r="B15" s="7" t="s">
        <v>179</v>
      </c>
      <c r="C15" s="6" t="s">
        <v>33</v>
      </c>
      <c r="D15" s="7" t="s">
        <v>42</v>
      </c>
      <c r="E15" s="6" t="s">
        <v>23</v>
      </c>
      <c r="F15" s="6"/>
      <c r="G15" s="6"/>
      <c r="H15" s="6" t="s">
        <v>29</v>
      </c>
      <c r="I15" s="6" t="s">
        <v>21</v>
      </c>
      <c r="J15" s="6" t="s">
        <v>16</v>
      </c>
      <c r="K15" s="6"/>
      <c r="L15" s="6"/>
    </row>
    <row r="16" spans="1:12">
      <c r="A16" s="6">
        <v>12</v>
      </c>
      <c r="B16" s="7" t="s">
        <v>179</v>
      </c>
      <c r="C16" s="6" t="s">
        <v>33</v>
      </c>
      <c r="D16" s="7" t="s">
        <v>43</v>
      </c>
      <c r="E16" s="6" t="s">
        <v>23</v>
      </c>
      <c r="F16" s="6"/>
      <c r="G16" s="6"/>
      <c r="H16" s="6" t="s">
        <v>44</v>
      </c>
      <c r="I16" s="6" t="s">
        <v>21</v>
      </c>
      <c r="J16" s="6" t="s">
        <v>16</v>
      </c>
      <c r="K16" s="6"/>
      <c r="L16" s="6"/>
    </row>
    <row r="17" spans="1:12" ht="30">
      <c r="A17" s="6">
        <v>13</v>
      </c>
      <c r="B17" s="7" t="s">
        <v>179</v>
      </c>
      <c r="C17" s="6" t="s">
        <v>45</v>
      </c>
      <c r="D17" s="7" t="s">
        <v>46</v>
      </c>
      <c r="E17" s="6" t="s">
        <v>23</v>
      </c>
      <c r="F17" s="6"/>
      <c r="G17" s="6"/>
      <c r="H17" s="7" t="s">
        <v>47</v>
      </c>
      <c r="I17" s="6" t="s">
        <v>21</v>
      </c>
      <c r="J17" s="6" t="s">
        <v>16</v>
      </c>
      <c r="K17" s="6"/>
      <c r="L17" s="6"/>
    </row>
    <row r="18" spans="1:12">
      <c r="A18" s="6">
        <v>14</v>
      </c>
      <c r="B18" s="7" t="s">
        <v>179</v>
      </c>
      <c r="C18" s="6" t="s">
        <v>45</v>
      </c>
      <c r="D18" s="7" t="s">
        <v>48</v>
      </c>
      <c r="E18" s="6" t="s">
        <v>23</v>
      </c>
      <c r="F18" s="6"/>
      <c r="G18" s="6"/>
      <c r="H18" s="6" t="s">
        <v>49</v>
      </c>
      <c r="I18" s="6" t="s">
        <v>21</v>
      </c>
      <c r="J18" s="6" t="s">
        <v>16</v>
      </c>
      <c r="K18" s="6"/>
      <c r="L18" s="6"/>
    </row>
    <row r="19" spans="1:12" ht="300.75" customHeight="1">
      <c r="A19" s="6">
        <v>15</v>
      </c>
      <c r="B19" s="7" t="s">
        <v>180</v>
      </c>
      <c r="C19" s="6"/>
      <c r="D19" s="7" t="s">
        <v>181</v>
      </c>
      <c r="E19" s="6"/>
      <c r="F19" s="6"/>
      <c r="G19" s="6"/>
      <c r="H19" s="6"/>
      <c r="I19" s="6"/>
      <c r="J19" s="6" t="s">
        <v>16</v>
      </c>
      <c r="K19" s="6"/>
      <c r="L19" s="6"/>
    </row>
    <row r="20" spans="1:12" ht="30">
      <c r="A20" s="6">
        <v>16</v>
      </c>
      <c r="B20" s="7" t="s">
        <v>180</v>
      </c>
      <c r="C20" s="6"/>
      <c r="D20" s="7" t="s">
        <v>182</v>
      </c>
      <c r="E20" s="6" t="s">
        <v>53</v>
      </c>
      <c r="F20" s="7" t="s">
        <v>54</v>
      </c>
      <c r="G20" s="6"/>
      <c r="H20" s="6"/>
      <c r="I20" s="6" t="s">
        <v>21</v>
      </c>
      <c r="J20" s="6" t="s">
        <v>16</v>
      </c>
      <c r="K20" s="6"/>
      <c r="L20" s="6"/>
    </row>
    <row r="21" spans="1:12">
      <c r="A21" s="6">
        <v>17</v>
      </c>
      <c r="B21" s="7" t="s">
        <v>180</v>
      </c>
      <c r="C21" s="6" t="s">
        <v>183</v>
      </c>
      <c r="D21" s="7" t="s">
        <v>17</v>
      </c>
      <c r="E21" s="6" t="s">
        <v>18</v>
      </c>
      <c r="F21" s="6" t="s">
        <v>19</v>
      </c>
      <c r="G21" s="6"/>
      <c r="H21" s="6" t="s">
        <v>20</v>
      </c>
      <c r="I21" s="6" t="s">
        <v>21</v>
      </c>
      <c r="J21" s="6" t="s">
        <v>56</v>
      </c>
      <c r="K21" s="6">
        <v>16</v>
      </c>
      <c r="L21" s="6" t="s">
        <v>21</v>
      </c>
    </row>
    <row r="22" spans="1:12">
      <c r="A22" s="6">
        <v>18</v>
      </c>
      <c r="B22" s="7" t="s">
        <v>180</v>
      </c>
      <c r="C22" s="6" t="s">
        <v>183</v>
      </c>
      <c r="D22" s="7" t="s">
        <v>22</v>
      </c>
      <c r="E22" s="6" t="s">
        <v>23</v>
      </c>
      <c r="F22" s="6"/>
      <c r="G22" s="6"/>
      <c r="H22" s="6" t="s">
        <v>24</v>
      </c>
      <c r="I22" s="6" t="s">
        <v>21</v>
      </c>
      <c r="J22" s="6" t="s">
        <v>56</v>
      </c>
      <c r="K22" s="6">
        <v>16</v>
      </c>
      <c r="L22" s="6" t="s">
        <v>21</v>
      </c>
    </row>
    <row r="23" spans="1:12">
      <c r="A23" s="6">
        <v>19</v>
      </c>
      <c r="B23" s="7" t="s">
        <v>180</v>
      </c>
      <c r="C23" s="6" t="s">
        <v>183</v>
      </c>
      <c r="D23" s="7" t="s">
        <v>25</v>
      </c>
      <c r="E23" s="6" t="s">
        <v>23</v>
      </c>
      <c r="F23" s="6"/>
      <c r="G23" s="6"/>
      <c r="H23" s="6" t="s">
        <v>26</v>
      </c>
      <c r="I23" s="6" t="s">
        <v>27</v>
      </c>
      <c r="J23" s="6" t="s">
        <v>56</v>
      </c>
      <c r="K23" s="6">
        <v>16</v>
      </c>
      <c r="L23" s="6" t="s">
        <v>21</v>
      </c>
    </row>
    <row r="24" spans="1:12">
      <c r="A24" s="6">
        <v>20</v>
      </c>
      <c r="B24" s="7" t="s">
        <v>180</v>
      </c>
      <c r="C24" s="6" t="s">
        <v>183</v>
      </c>
      <c r="D24" s="7" t="s">
        <v>28</v>
      </c>
      <c r="E24" s="6" t="s">
        <v>23</v>
      </c>
      <c r="F24" s="6"/>
      <c r="G24" s="6"/>
      <c r="H24" s="6" t="s">
        <v>29</v>
      </c>
      <c r="I24" s="6" t="s">
        <v>21</v>
      </c>
      <c r="J24" s="6" t="s">
        <v>56</v>
      </c>
      <c r="K24" s="6">
        <v>16</v>
      </c>
      <c r="L24" s="6" t="s">
        <v>21</v>
      </c>
    </row>
    <row r="25" spans="1:12">
      <c r="A25" s="6">
        <v>21</v>
      </c>
      <c r="B25" s="7" t="s">
        <v>180</v>
      </c>
      <c r="C25" s="6" t="s">
        <v>183</v>
      </c>
      <c r="D25" s="7" t="s">
        <v>30</v>
      </c>
      <c r="E25" s="6" t="s">
        <v>31</v>
      </c>
      <c r="F25" s="6"/>
      <c r="G25" s="6"/>
      <c r="H25" s="6" t="s">
        <v>32</v>
      </c>
      <c r="I25" s="6" t="s">
        <v>21</v>
      </c>
      <c r="J25" s="6" t="s">
        <v>56</v>
      </c>
      <c r="K25" s="6">
        <v>16</v>
      </c>
      <c r="L25" s="6" t="s">
        <v>21</v>
      </c>
    </row>
    <row r="26" spans="1:12">
      <c r="A26" s="6">
        <v>22</v>
      </c>
      <c r="B26" s="7" t="s">
        <v>180</v>
      </c>
      <c r="C26" s="6" t="s">
        <v>183</v>
      </c>
      <c r="D26" s="7" t="s">
        <v>48</v>
      </c>
      <c r="E26" s="6" t="s">
        <v>23</v>
      </c>
      <c r="F26" s="6"/>
      <c r="G26" s="6"/>
      <c r="H26" s="6" t="s">
        <v>49</v>
      </c>
      <c r="I26" s="6" t="s">
        <v>21</v>
      </c>
      <c r="J26" s="6" t="s">
        <v>56</v>
      </c>
      <c r="K26" s="6">
        <v>16</v>
      </c>
      <c r="L26" s="6" t="s">
        <v>21</v>
      </c>
    </row>
    <row r="27" spans="1:12" ht="184.9" customHeight="1">
      <c r="A27" s="6">
        <v>23</v>
      </c>
      <c r="B27" s="7" t="s">
        <v>184</v>
      </c>
      <c r="C27" s="6"/>
      <c r="D27" s="7" t="s">
        <v>185</v>
      </c>
      <c r="E27" s="6"/>
      <c r="F27" s="6"/>
      <c r="G27" s="6"/>
      <c r="H27" s="6"/>
      <c r="I27" s="6"/>
      <c r="J27" s="6" t="s">
        <v>16</v>
      </c>
      <c r="K27" s="6"/>
      <c r="L27" s="6"/>
    </row>
    <row r="28" spans="1:12" ht="46.9" customHeight="1">
      <c r="A28" s="6">
        <v>24</v>
      </c>
      <c r="B28" s="7" t="s">
        <v>184</v>
      </c>
      <c r="C28" s="6"/>
      <c r="D28" s="7" t="s">
        <v>186</v>
      </c>
      <c r="E28" s="6"/>
      <c r="F28" s="7"/>
      <c r="G28" s="6"/>
      <c r="H28" s="6"/>
      <c r="I28" s="6"/>
      <c r="J28" s="6" t="s">
        <v>16</v>
      </c>
      <c r="K28" s="6"/>
      <c r="L28" s="6"/>
    </row>
    <row r="29" spans="1:12" ht="30">
      <c r="A29" s="6">
        <v>25</v>
      </c>
      <c r="B29" s="7" t="s">
        <v>184</v>
      </c>
      <c r="C29" s="6" t="s">
        <v>187</v>
      </c>
      <c r="D29" s="7" t="s">
        <v>188</v>
      </c>
      <c r="E29" s="6" t="s">
        <v>53</v>
      </c>
      <c r="F29" s="7" t="s">
        <v>54</v>
      </c>
      <c r="G29" s="6"/>
      <c r="H29" s="6"/>
      <c r="I29" s="6" t="s">
        <v>21</v>
      </c>
      <c r="J29" s="6" t="s">
        <v>16</v>
      </c>
      <c r="K29" s="6"/>
      <c r="L29" s="6"/>
    </row>
    <row r="30" spans="1:12">
      <c r="A30" s="6">
        <v>26</v>
      </c>
      <c r="B30" s="7" t="s">
        <v>184</v>
      </c>
      <c r="C30" s="6" t="s">
        <v>187</v>
      </c>
      <c r="D30" s="7" t="s">
        <v>189</v>
      </c>
      <c r="E30" s="6" t="s">
        <v>23</v>
      </c>
      <c r="F30" s="6"/>
      <c r="G30" s="6"/>
      <c r="H30" s="6" t="s">
        <v>24</v>
      </c>
      <c r="I30" s="6" t="s">
        <v>21</v>
      </c>
      <c r="J30" s="6" t="s">
        <v>56</v>
      </c>
      <c r="K30" s="6">
        <v>25</v>
      </c>
      <c r="L30" s="6" t="s">
        <v>21</v>
      </c>
    </row>
    <row r="31" spans="1:12">
      <c r="A31" s="6">
        <v>27</v>
      </c>
      <c r="B31" s="7" t="s">
        <v>184</v>
      </c>
      <c r="C31" s="6" t="s">
        <v>187</v>
      </c>
      <c r="D31" s="7" t="s">
        <v>190</v>
      </c>
      <c r="E31" s="6" t="s">
        <v>23</v>
      </c>
      <c r="F31" s="6"/>
      <c r="G31" s="6"/>
      <c r="H31" s="6" t="s">
        <v>26</v>
      </c>
      <c r="I31" s="6" t="s">
        <v>27</v>
      </c>
      <c r="J31" s="6" t="s">
        <v>56</v>
      </c>
      <c r="K31" s="6">
        <v>25</v>
      </c>
      <c r="L31" s="6" t="s">
        <v>21</v>
      </c>
    </row>
    <row r="32" spans="1:12">
      <c r="A32" s="6">
        <v>28</v>
      </c>
      <c r="B32" s="7" t="s">
        <v>184</v>
      </c>
      <c r="C32" s="6" t="s">
        <v>187</v>
      </c>
      <c r="D32" s="7" t="s">
        <v>191</v>
      </c>
      <c r="E32" s="6" t="s">
        <v>23</v>
      </c>
      <c r="F32" s="6"/>
      <c r="G32" s="6"/>
      <c r="H32" s="6" t="s">
        <v>29</v>
      </c>
      <c r="I32" s="6" t="s">
        <v>21</v>
      </c>
      <c r="J32" s="6" t="s">
        <v>56</v>
      </c>
      <c r="K32" s="6">
        <v>25</v>
      </c>
      <c r="L32" s="6" t="s">
        <v>21</v>
      </c>
    </row>
    <row r="33" spans="1:12">
      <c r="A33" s="6">
        <v>29</v>
      </c>
      <c r="B33" s="7" t="s">
        <v>184</v>
      </c>
      <c r="C33" s="6" t="s">
        <v>187</v>
      </c>
      <c r="D33" s="7" t="s">
        <v>192</v>
      </c>
      <c r="E33" s="6" t="s">
        <v>31</v>
      </c>
      <c r="F33" s="6"/>
      <c r="G33" s="6"/>
      <c r="H33" s="6" t="s">
        <v>32</v>
      </c>
      <c r="I33" s="6" t="s">
        <v>21</v>
      </c>
      <c r="J33" s="6" t="s">
        <v>56</v>
      </c>
      <c r="K33" s="6">
        <v>25</v>
      </c>
      <c r="L33" s="6" t="s">
        <v>21</v>
      </c>
    </row>
    <row r="34" spans="1:12">
      <c r="A34" s="6">
        <v>30</v>
      </c>
      <c r="B34" s="7" t="s">
        <v>184</v>
      </c>
      <c r="C34" s="6" t="s">
        <v>187</v>
      </c>
      <c r="D34" s="7" t="s">
        <v>193</v>
      </c>
      <c r="E34" s="6" t="s">
        <v>23</v>
      </c>
      <c r="F34" s="6"/>
      <c r="G34" s="6"/>
      <c r="H34" s="6" t="s">
        <v>49</v>
      </c>
      <c r="I34" s="6" t="s">
        <v>21</v>
      </c>
      <c r="J34" s="6" t="s">
        <v>56</v>
      </c>
      <c r="K34" s="6">
        <v>25</v>
      </c>
      <c r="L34" s="6" t="s">
        <v>21</v>
      </c>
    </row>
    <row r="35" spans="1:12" ht="117" customHeight="1">
      <c r="A35" s="6">
        <v>31</v>
      </c>
      <c r="B35" s="7" t="s">
        <v>184</v>
      </c>
      <c r="C35" s="6" t="s">
        <v>187</v>
      </c>
      <c r="D35" s="7" t="s">
        <v>194</v>
      </c>
      <c r="E35" s="6" t="s">
        <v>53</v>
      </c>
      <c r="F35" s="7" t="s">
        <v>195</v>
      </c>
      <c r="G35" s="6"/>
      <c r="H35" s="6"/>
      <c r="I35" s="6" t="s">
        <v>21</v>
      </c>
      <c r="J35" s="6" t="s">
        <v>56</v>
      </c>
      <c r="K35" s="6">
        <v>25</v>
      </c>
      <c r="L35" s="6" t="s">
        <v>21</v>
      </c>
    </row>
    <row r="36" spans="1:12">
      <c r="A36" s="6">
        <v>32</v>
      </c>
      <c r="B36" s="7" t="s">
        <v>184</v>
      </c>
      <c r="C36" s="6" t="s">
        <v>187</v>
      </c>
      <c r="D36" s="7" t="s">
        <v>196</v>
      </c>
      <c r="E36" s="6" t="s">
        <v>23</v>
      </c>
      <c r="F36" s="6"/>
      <c r="G36" s="6"/>
      <c r="H36" s="6" t="s">
        <v>197</v>
      </c>
      <c r="I36" s="6" t="s">
        <v>21</v>
      </c>
      <c r="J36" s="6" t="s">
        <v>56</v>
      </c>
      <c r="K36" s="6">
        <v>31</v>
      </c>
      <c r="L36" s="6" t="s">
        <v>65</v>
      </c>
    </row>
    <row r="37" spans="1:12" ht="30">
      <c r="A37" s="6">
        <v>33</v>
      </c>
      <c r="B37" s="7" t="s">
        <v>184</v>
      </c>
      <c r="C37" s="6" t="s">
        <v>187</v>
      </c>
      <c r="D37" s="7" t="s">
        <v>198</v>
      </c>
      <c r="E37" s="6" t="s">
        <v>53</v>
      </c>
      <c r="F37" s="7" t="s">
        <v>54</v>
      </c>
      <c r="G37" s="7" t="s">
        <v>199</v>
      </c>
      <c r="H37" s="6"/>
      <c r="I37" s="6" t="s">
        <v>21</v>
      </c>
      <c r="J37" s="6" t="s">
        <v>56</v>
      </c>
      <c r="K37" s="6">
        <v>25</v>
      </c>
      <c r="L37" s="6" t="s">
        <v>21</v>
      </c>
    </row>
    <row r="38" spans="1:12">
      <c r="A38" s="6">
        <v>34</v>
      </c>
      <c r="B38" s="7" t="s">
        <v>184</v>
      </c>
      <c r="C38" s="6" t="s">
        <v>187</v>
      </c>
      <c r="D38" s="7" t="s">
        <v>200</v>
      </c>
      <c r="E38" s="6" t="s">
        <v>23</v>
      </c>
      <c r="F38" s="6"/>
      <c r="G38" s="6"/>
      <c r="H38" s="6" t="s">
        <v>24</v>
      </c>
      <c r="I38" s="6" t="s">
        <v>21</v>
      </c>
      <c r="J38" s="6" t="s">
        <v>56</v>
      </c>
      <c r="K38" s="6">
        <v>33</v>
      </c>
      <c r="L38" s="6" t="s">
        <v>21</v>
      </c>
    </row>
    <row r="39" spans="1:12">
      <c r="A39" s="6">
        <v>35</v>
      </c>
      <c r="B39" s="7" t="s">
        <v>184</v>
      </c>
      <c r="C39" s="6" t="s">
        <v>187</v>
      </c>
      <c r="D39" s="7" t="s">
        <v>201</v>
      </c>
      <c r="E39" s="6" t="s">
        <v>23</v>
      </c>
      <c r="F39" s="6"/>
      <c r="G39" s="6"/>
      <c r="H39" s="6" t="s">
        <v>26</v>
      </c>
      <c r="I39" s="6" t="s">
        <v>27</v>
      </c>
      <c r="J39" s="6" t="s">
        <v>56</v>
      </c>
      <c r="K39" s="6">
        <v>33</v>
      </c>
      <c r="L39" s="6" t="s">
        <v>21</v>
      </c>
    </row>
    <row r="40" spans="1:12">
      <c r="A40" s="6">
        <v>36</v>
      </c>
      <c r="B40" s="7" t="s">
        <v>184</v>
      </c>
      <c r="C40" s="6" t="s">
        <v>187</v>
      </c>
      <c r="D40" s="7" t="s">
        <v>202</v>
      </c>
      <c r="E40" s="6" t="s">
        <v>23</v>
      </c>
      <c r="F40" s="6"/>
      <c r="G40" s="6"/>
      <c r="H40" s="6" t="s">
        <v>29</v>
      </c>
      <c r="I40" s="6" t="s">
        <v>21</v>
      </c>
      <c r="J40" s="6" t="s">
        <v>56</v>
      </c>
      <c r="K40" s="6">
        <v>33</v>
      </c>
      <c r="L40" s="6" t="s">
        <v>21</v>
      </c>
    </row>
    <row r="41" spans="1:12">
      <c r="A41" s="6">
        <v>37</v>
      </c>
      <c r="B41" s="7" t="s">
        <v>184</v>
      </c>
      <c r="C41" s="6" t="s">
        <v>187</v>
      </c>
      <c r="D41" s="7" t="s">
        <v>203</v>
      </c>
      <c r="E41" s="6" t="s">
        <v>31</v>
      </c>
      <c r="F41" s="6"/>
      <c r="G41" s="6"/>
      <c r="H41" s="6" t="s">
        <v>32</v>
      </c>
      <c r="I41" s="6" t="s">
        <v>21</v>
      </c>
      <c r="J41" s="6" t="s">
        <v>56</v>
      </c>
      <c r="K41" s="6">
        <v>33</v>
      </c>
      <c r="L41" s="6" t="s">
        <v>21</v>
      </c>
    </row>
    <row r="42" spans="1:12">
      <c r="A42" s="6">
        <v>38</v>
      </c>
      <c r="B42" s="7" t="s">
        <v>184</v>
      </c>
      <c r="C42" s="6" t="s">
        <v>187</v>
      </c>
      <c r="D42" s="7" t="s">
        <v>204</v>
      </c>
      <c r="E42" s="6" t="s">
        <v>23</v>
      </c>
      <c r="F42" s="6"/>
      <c r="G42" s="6"/>
      <c r="H42" s="6" t="s">
        <v>49</v>
      </c>
      <c r="I42" s="6" t="s">
        <v>21</v>
      </c>
      <c r="J42" s="6" t="s">
        <v>56</v>
      </c>
      <c r="K42" s="6">
        <v>33</v>
      </c>
      <c r="L42" s="6" t="s">
        <v>21</v>
      </c>
    </row>
    <row r="43" spans="1:12" ht="117" customHeight="1">
      <c r="A43" s="6">
        <v>39</v>
      </c>
      <c r="B43" s="7" t="s">
        <v>184</v>
      </c>
      <c r="C43" s="6" t="s">
        <v>187</v>
      </c>
      <c r="D43" s="7" t="s">
        <v>205</v>
      </c>
      <c r="E43" s="6" t="s">
        <v>53</v>
      </c>
      <c r="F43" s="7" t="s">
        <v>195</v>
      </c>
      <c r="G43" s="6"/>
      <c r="H43" s="6"/>
      <c r="I43" s="6" t="s">
        <v>21</v>
      </c>
      <c r="J43" s="6" t="s">
        <v>16</v>
      </c>
      <c r="K43" s="6">
        <v>33</v>
      </c>
      <c r="L43" s="6" t="s">
        <v>21</v>
      </c>
    </row>
    <row r="44" spans="1:12">
      <c r="A44" s="6">
        <v>40</v>
      </c>
      <c r="B44" s="7" t="s">
        <v>184</v>
      </c>
      <c r="C44" s="6" t="s">
        <v>187</v>
      </c>
      <c r="D44" s="7" t="s">
        <v>206</v>
      </c>
      <c r="E44" s="6" t="s">
        <v>23</v>
      </c>
      <c r="F44" s="6"/>
      <c r="G44" s="6"/>
      <c r="H44" s="6" t="s">
        <v>197</v>
      </c>
      <c r="I44" s="6" t="s">
        <v>21</v>
      </c>
      <c r="J44" s="6" t="s">
        <v>56</v>
      </c>
      <c r="K44" s="6">
        <v>39</v>
      </c>
      <c r="L44" s="6" t="s">
        <v>65</v>
      </c>
    </row>
    <row r="45" spans="1:12">
      <c r="A45" s="6">
        <v>41</v>
      </c>
      <c r="B45" s="7" t="s">
        <v>207</v>
      </c>
      <c r="C45" s="6"/>
      <c r="D45" s="7" t="s">
        <v>70</v>
      </c>
      <c r="E45" s="6" t="s">
        <v>23</v>
      </c>
      <c r="F45" s="6"/>
      <c r="G45" s="6"/>
      <c r="H45" s="6" t="s">
        <v>71</v>
      </c>
      <c r="I45" s="6" t="s">
        <v>21</v>
      </c>
      <c r="J45" s="6" t="s">
        <v>16</v>
      </c>
      <c r="K45" s="6"/>
      <c r="L45" s="6"/>
    </row>
    <row r="46" spans="1:12" ht="45">
      <c r="A46" s="6">
        <v>42</v>
      </c>
      <c r="B46" s="7" t="s">
        <v>207</v>
      </c>
      <c r="C46" s="6"/>
      <c r="D46" s="7" t="s">
        <v>72</v>
      </c>
      <c r="E46" s="6" t="s">
        <v>18</v>
      </c>
      <c r="F46" s="6"/>
      <c r="G46" s="7" t="s">
        <v>73</v>
      </c>
      <c r="H46" s="6" t="s">
        <v>74</v>
      </c>
      <c r="I46" s="6" t="s">
        <v>21</v>
      </c>
      <c r="J46" s="6" t="s">
        <v>16</v>
      </c>
      <c r="K46" s="6"/>
      <c r="L46" s="6"/>
    </row>
    <row r="47" spans="1:12" ht="30">
      <c r="A47" s="6">
        <v>43</v>
      </c>
      <c r="B47" s="7" t="s">
        <v>208</v>
      </c>
      <c r="C47" s="6"/>
      <c r="D47" s="7" t="s">
        <v>209</v>
      </c>
      <c r="E47" s="6" t="s">
        <v>53</v>
      </c>
      <c r="F47" s="7" t="s">
        <v>54</v>
      </c>
      <c r="G47" s="6"/>
      <c r="H47" s="6"/>
      <c r="I47" s="6" t="s">
        <v>21</v>
      </c>
      <c r="J47" s="6" t="s">
        <v>16</v>
      </c>
      <c r="K47" s="6"/>
      <c r="L47" s="6"/>
    </row>
    <row r="48" spans="1:12" ht="30">
      <c r="A48" s="6">
        <v>44</v>
      </c>
      <c r="B48" s="7" t="s">
        <v>208</v>
      </c>
      <c r="C48" s="6"/>
      <c r="D48" s="7" t="s">
        <v>210</v>
      </c>
      <c r="E48" s="11" t="s">
        <v>91</v>
      </c>
      <c r="F48" s="7"/>
      <c r="G48" s="6"/>
      <c r="H48" s="7" t="s">
        <v>106</v>
      </c>
      <c r="I48" s="6" t="s">
        <v>21</v>
      </c>
      <c r="J48" s="6" t="s">
        <v>56</v>
      </c>
      <c r="K48" s="6">
        <v>43</v>
      </c>
      <c r="L48" s="6" t="s">
        <v>21</v>
      </c>
    </row>
    <row r="49" spans="1:12" ht="30">
      <c r="A49" s="6">
        <v>45</v>
      </c>
      <c r="B49" s="7" t="s">
        <v>208</v>
      </c>
      <c r="C49" s="6"/>
      <c r="D49" s="7" t="s">
        <v>211</v>
      </c>
      <c r="E49" s="6" t="s">
        <v>53</v>
      </c>
      <c r="F49" s="7" t="s">
        <v>54</v>
      </c>
      <c r="G49" s="6"/>
      <c r="H49" s="6"/>
      <c r="I49" s="6" t="s">
        <v>21</v>
      </c>
      <c r="J49" s="6" t="s">
        <v>16</v>
      </c>
      <c r="K49" s="6"/>
      <c r="L49" s="6"/>
    </row>
    <row r="50" spans="1:12" ht="60">
      <c r="A50" s="6">
        <v>46</v>
      </c>
      <c r="B50" s="7" t="s">
        <v>208</v>
      </c>
      <c r="C50" s="6" t="s">
        <v>212</v>
      </c>
      <c r="D50" s="7" t="s">
        <v>213</v>
      </c>
      <c r="E50" s="6" t="s">
        <v>53</v>
      </c>
      <c r="F50" s="7" t="s">
        <v>214</v>
      </c>
      <c r="G50" s="6"/>
      <c r="H50" s="6"/>
      <c r="I50" s="6" t="s">
        <v>21</v>
      </c>
      <c r="J50" s="6" t="s">
        <v>56</v>
      </c>
      <c r="K50" s="6">
        <v>45</v>
      </c>
      <c r="L50" s="6" t="s">
        <v>21</v>
      </c>
    </row>
    <row r="51" spans="1:12" ht="18" customHeight="1">
      <c r="A51" s="6">
        <v>47</v>
      </c>
      <c r="B51" s="7" t="s">
        <v>208</v>
      </c>
      <c r="C51" s="6" t="s">
        <v>212</v>
      </c>
      <c r="D51" s="12" t="s">
        <v>215</v>
      </c>
      <c r="E51" s="6" t="s">
        <v>23</v>
      </c>
      <c r="F51" s="6"/>
      <c r="G51" s="6"/>
      <c r="H51" s="6" t="s">
        <v>197</v>
      </c>
      <c r="I51" s="6" t="s">
        <v>21</v>
      </c>
      <c r="J51" s="6" t="s">
        <v>56</v>
      </c>
      <c r="K51" s="6">
        <v>46</v>
      </c>
      <c r="L51" s="6" t="s">
        <v>216</v>
      </c>
    </row>
    <row r="52" spans="1:12" ht="30">
      <c r="A52" s="6">
        <v>48</v>
      </c>
      <c r="B52" s="7" t="s">
        <v>208</v>
      </c>
      <c r="C52" s="6" t="s">
        <v>212</v>
      </c>
      <c r="D52" s="7" t="s">
        <v>217</v>
      </c>
      <c r="E52" s="11" t="s">
        <v>91</v>
      </c>
      <c r="F52" s="7"/>
      <c r="G52" s="6"/>
      <c r="H52" s="7" t="s">
        <v>106</v>
      </c>
      <c r="I52" s="6" t="s">
        <v>21</v>
      </c>
      <c r="J52" s="6" t="s">
        <v>56</v>
      </c>
      <c r="K52" s="6">
        <v>46</v>
      </c>
      <c r="L52" s="6" t="s">
        <v>216</v>
      </c>
    </row>
    <row r="53" spans="1:12" ht="165">
      <c r="A53" s="6">
        <v>49</v>
      </c>
      <c r="B53" s="7" t="s">
        <v>208</v>
      </c>
      <c r="C53" s="6" t="s">
        <v>212</v>
      </c>
      <c r="D53" s="7" t="s">
        <v>218</v>
      </c>
      <c r="E53" s="6" t="s">
        <v>53</v>
      </c>
      <c r="F53" s="7" t="s">
        <v>219</v>
      </c>
      <c r="G53" s="6"/>
      <c r="H53" s="7"/>
      <c r="I53" s="6" t="s">
        <v>21</v>
      </c>
      <c r="J53" s="6" t="s">
        <v>56</v>
      </c>
      <c r="K53" s="6">
        <v>46</v>
      </c>
      <c r="L53" s="6" t="s">
        <v>220</v>
      </c>
    </row>
    <row r="54" spans="1:12" ht="30">
      <c r="A54" s="6">
        <v>50</v>
      </c>
      <c r="B54" s="7" t="s">
        <v>208</v>
      </c>
      <c r="C54" s="6" t="s">
        <v>212</v>
      </c>
      <c r="D54" s="7" t="s">
        <v>221</v>
      </c>
      <c r="E54" s="11" t="s">
        <v>91</v>
      </c>
      <c r="F54" s="7"/>
      <c r="G54" s="6"/>
      <c r="H54" s="7" t="s">
        <v>106</v>
      </c>
      <c r="I54" s="7" t="s">
        <v>21</v>
      </c>
      <c r="J54" s="6" t="s">
        <v>56</v>
      </c>
      <c r="K54" s="6">
        <v>46</v>
      </c>
      <c r="L54" s="6" t="s">
        <v>220</v>
      </c>
    </row>
    <row r="55" spans="1:12">
      <c r="A55" s="6">
        <v>51</v>
      </c>
      <c r="B55" s="7" t="s">
        <v>208</v>
      </c>
      <c r="C55" s="6" t="s">
        <v>212</v>
      </c>
      <c r="D55" s="7" t="s">
        <v>222</v>
      </c>
      <c r="E55" s="6" t="s">
        <v>23</v>
      </c>
      <c r="F55" s="6"/>
      <c r="G55" s="6"/>
      <c r="H55" s="6" t="s">
        <v>197</v>
      </c>
      <c r="I55" s="6" t="s">
        <v>21</v>
      </c>
      <c r="J55" s="6" t="s">
        <v>56</v>
      </c>
      <c r="K55" s="6">
        <v>46</v>
      </c>
      <c r="L55" s="6" t="s">
        <v>223</v>
      </c>
    </row>
    <row r="56" spans="1:12" ht="30">
      <c r="A56" s="6">
        <v>52</v>
      </c>
      <c r="B56" s="7" t="s">
        <v>208</v>
      </c>
      <c r="C56" s="6" t="s">
        <v>212</v>
      </c>
      <c r="D56" s="7" t="s">
        <v>224</v>
      </c>
      <c r="E56" s="11" t="s">
        <v>91</v>
      </c>
      <c r="F56" s="7"/>
      <c r="G56" s="6"/>
      <c r="H56" s="7" t="s">
        <v>106</v>
      </c>
      <c r="I56" s="6" t="s">
        <v>21</v>
      </c>
      <c r="J56" s="6" t="s">
        <v>56</v>
      </c>
      <c r="K56" s="6">
        <v>46</v>
      </c>
      <c r="L56" s="6" t="s">
        <v>223</v>
      </c>
    </row>
    <row r="57" spans="1:12">
      <c r="A57" s="6">
        <v>53</v>
      </c>
      <c r="B57" s="7" t="s">
        <v>208</v>
      </c>
      <c r="C57" s="6" t="s">
        <v>212</v>
      </c>
      <c r="D57" s="7" t="s">
        <v>225</v>
      </c>
      <c r="E57" s="6" t="s">
        <v>23</v>
      </c>
      <c r="F57" s="6"/>
      <c r="G57" s="6"/>
      <c r="H57" s="6" t="s">
        <v>197</v>
      </c>
      <c r="I57" s="6" t="s">
        <v>21</v>
      </c>
      <c r="J57" s="6" t="s">
        <v>56</v>
      </c>
      <c r="K57" s="6">
        <v>46</v>
      </c>
      <c r="L57" s="6" t="s">
        <v>226</v>
      </c>
    </row>
    <row r="58" spans="1:12" ht="30">
      <c r="A58" s="6">
        <v>54</v>
      </c>
      <c r="B58" s="7" t="s">
        <v>208</v>
      </c>
      <c r="C58" s="6" t="s">
        <v>212</v>
      </c>
      <c r="D58" s="7" t="s">
        <v>227</v>
      </c>
      <c r="E58" s="11" t="s">
        <v>91</v>
      </c>
      <c r="F58" s="7"/>
      <c r="G58" s="6"/>
      <c r="H58" s="7" t="s">
        <v>106</v>
      </c>
      <c r="I58" s="6" t="s">
        <v>21</v>
      </c>
      <c r="J58" s="6" t="s">
        <v>56</v>
      </c>
      <c r="K58" s="6">
        <v>46</v>
      </c>
      <c r="L58" s="6" t="s">
        <v>226</v>
      </c>
    </row>
    <row r="59" spans="1:12" ht="45">
      <c r="A59" s="6">
        <v>55</v>
      </c>
      <c r="B59" s="7" t="s">
        <v>208</v>
      </c>
      <c r="C59" s="6" t="s">
        <v>212</v>
      </c>
      <c r="D59" s="6" t="s">
        <v>228</v>
      </c>
      <c r="E59" s="6" t="s">
        <v>53</v>
      </c>
      <c r="F59" s="7" t="s">
        <v>229</v>
      </c>
      <c r="G59" s="6"/>
      <c r="H59" s="6"/>
      <c r="I59" s="6" t="s">
        <v>21</v>
      </c>
      <c r="J59" s="6" t="s">
        <v>56</v>
      </c>
      <c r="K59" s="6">
        <v>46</v>
      </c>
      <c r="L59" s="6" t="s">
        <v>226</v>
      </c>
    </row>
    <row r="60" spans="1:12" ht="29.25">
      <c r="A60" s="6">
        <v>56</v>
      </c>
      <c r="B60" s="7" t="s">
        <v>230</v>
      </c>
      <c r="C60" s="6"/>
      <c r="D60" s="7" t="s">
        <v>149</v>
      </c>
      <c r="E60" s="6"/>
      <c r="F60" s="7"/>
      <c r="G60" s="6"/>
      <c r="H60" s="6"/>
      <c r="I60" s="6"/>
      <c r="J60" s="6" t="s">
        <v>16</v>
      </c>
      <c r="K60" s="6"/>
      <c r="L60" s="6"/>
    </row>
    <row r="61" spans="1:12" ht="29.25">
      <c r="A61" s="6">
        <v>57</v>
      </c>
      <c r="B61" s="7" t="s">
        <v>230</v>
      </c>
      <c r="C61" s="6"/>
      <c r="D61" s="7" t="s">
        <v>150</v>
      </c>
      <c r="E61" s="6" t="s">
        <v>23</v>
      </c>
      <c r="F61" s="7"/>
      <c r="G61" s="6"/>
      <c r="H61" s="6" t="s">
        <v>151</v>
      </c>
      <c r="I61" s="6" t="s">
        <v>21</v>
      </c>
      <c r="J61" s="6" t="s">
        <v>16</v>
      </c>
      <c r="K61" s="6"/>
      <c r="L61" s="6"/>
    </row>
    <row r="62" spans="1:12">
      <c r="A62" s="6">
        <v>58</v>
      </c>
      <c r="B62" s="7" t="s">
        <v>230</v>
      </c>
      <c r="C62" s="6"/>
      <c r="D62" s="7" t="s">
        <v>152</v>
      </c>
      <c r="E62" s="6" t="s">
        <v>23</v>
      </c>
      <c r="F62" s="7"/>
      <c r="G62" s="6"/>
      <c r="H62" s="6" t="s">
        <v>151</v>
      </c>
      <c r="I62" s="6" t="s">
        <v>21</v>
      </c>
      <c r="J62" s="6" t="s">
        <v>16</v>
      </c>
      <c r="K62" s="6"/>
      <c r="L62" s="6"/>
    </row>
    <row r="63" spans="1:12">
      <c r="A63" s="6">
        <v>59</v>
      </c>
      <c r="B63" s="7" t="s">
        <v>230</v>
      </c>
      <c r="C63" s="6"/>
      <c r="D63" s="7" t="s">
        <v>153</v>
      </c>
      <c r="E63" s="6" t="s">
        <v>23</v>
      </c>
      <c r="F63" s="7"/>
      <c r="G63" s="6"/>
      <c r="H63" s="6" t="s">
        <v>151</v>
      </c>
      <c r="I63" s="6" t="s">
        <v>21</v>
      </c>
      <c r="J63" s="6" t="s">
        <v>16</v>
      </c>
      <c r="K63" s="6"/>
      <c r="L63" s="6"/>
    </row>
    <row r="64" spans="1:12" ht="29.25">
      <c r="A64" s="6">
        <v>60</v>
      </c>
      <c r="B64" s="7" t="s">
        <v>230</v>
      </c>
      <c r="C64" s="6"/>
      <c r="D64" s="7" t="s">
        <v>154</v>
      </c>
      <c r="E64" s="6" t="s">
        <v>23</v>
      </c>
      <c r="F64" s="7"/>
      <c r="G64" s="6"/>
      <c r="H64" s="6" t="s">
        <v>151</v>
      </c>
      <c r="I64" s="6" t="s">
        <v>21</v>
      </c>
      <c r="J64" s="6" t="s">
        <v>16</v>
      </c>
      <c r="K64" s="6"/>
      <c r="L64" s="6"/>
    </row>
    <row r="65" spans="1:12">
      <c r="A65" s="6">
        <v>61</v>
      </c>
      <c r="B65" s="7" t="s">
        <v>230</v>
      </c>
      <c r="C65" s="6"/>
      <c r="D65" s="7" t="s">
        <v>155</v>
      </c>
      <c r="E65" s="6" t="s">
        <v>23</v>
      </c>
      <c r="F65" s="7"/>
      <c r="G65" s="6"/>
      <c r="H65" s="6" t="s">
        <v>151</v>
      </c>
      <c r="I65" s="6" t="s">
        <v>21</v>
      </c>
      <c r="J65" s="6" t="s">
        <v>16</v>
      </c>
      <c r="K65" s="6"/>
      <c r="L65" s="6"/>
    </row>
    <row r="66" spans="1:12">
      <c r="A66" s="6">
        <v>62</v>
      </c>
      <c r="B66" s="7" t="s">
        <v>230</v>
      </c>
      <c r="C66" s="6"/>
      <c r="D66" s="7" t="s">
        <v>156</v>
      </c>
      <c r="E66" s="6" t="s">
        <v>23</v>
      </c>
      <c r="F66" s="7"/>
      <c r="G66" s="6"/>
      <c r="H66" s="6" t="s">
        <v>151</v>
      </c>
      <c r="I66" s="6" t="s">
        <v>21</v>
      </c>
      <c r="J66" s="6" t="s">
        <v>16</v>
      </c>
      <c r="K66" s="6"/>
      <c r="L66" s="6"/>
    </row>
    <row r="67" spans="1:12" ht="29.25">
      <c r="A67" s="6">
        <v>63</v>
      </c>
      <c r="B67" s="7" t="s">
        <v>230</v>
      </c>
      <c r="C67" s="6"/>
      <c r="D67" s="7" t="s">
        <v>231</v>
      </c>
      <c r="E67" s="6" t="s">
        <v>53</v>
      </c>
      <c r="F67" s="7" t="s">
        <v>54</v>
      </c>
      <c r="G67" s="6"/>
      <c r="H67" s="6"/>
      <c r="I67" s="6" t="s">
        <v>21</v>
      </c>
      <c r="J67" s="6" t="s">
        <v>16</v>
      </c>
      <c r="K67" s="6"/>
      <c r="L67" s="6"/>
    </row>
    <row r="68" spans="1:12">
      <c r="A68" s="6">
        <v>64</v>
      </c>
      <c r="B68" s="7" t="s">
        <v>230</v>
      </c>
      <c r="C68" s="6"/>
      <c r="D68" s="7" t="s">
        <v>232</v>
      </c>
      <c r="E68" s="6" t="s">
        <v>91</v>
      </c>
      <c r="F68" s="7"/>
      <c r="G68" s="6"/>
      <c r="H68" s="6" t="s">
        <v>233</v>
      </c>
      <c r="I68" s="6" t="s">
        <v>21</v>
      </c>
      <c r="J68" s="6" t="s">
        <v>56</v>
      </c>
      <c r="K68" s="6">
        <v>63</v>
      </c>
      <c r="L68" s="6" t="s">
        <v>21</v>
      </c>
    </row>
    <row r="69" spans="1:12" ht="29.25">
      <c r="A69" s="6">
        <v>65</v>
      </c>
      <c r="B69" s="7" t="s">
        <v>230</v>
      </c>
      <c r="C69" s="6"/>
      <c r="D69" s="6" t="s">
        <v>234</v>
      </c>
      <c r="E69" s="6" t="s">
        <v>53</v>
      </c>
      <c r="F69" s="7" t="s">
        <v>54</v>
      </c>
      <c r="G69" s="6"/>
      <c r="H69" s="6"/>
      <c r="I69" s="6" t="s">
        <v>21</v>
      </c>
      <c r="J69" s="6" t="s">
        <v>16</v>
      </c>
      <c r="K69" s="6"/>
      <c r="L69" s="6"/>
    </row>
    <row r="70" spans="1:12">
      <c r="A70" s="6">
        <v>66</v>
      </c>
      <c r="B70" s="7" t="s">
        <v>230</v>
      </c>
      <c r="C70" s="6"/>
      <c r="D70" s="7" t="s">
        <v>235</v>
      </c>
      <c r="E70" s="6" t="s">
        <v>91</v>
      </c>
      <c r="F70" s="7"/>
      <c r="G70" s="6"/>
      <c r="H70" s="6" t="s">
        <v>233</v>
      </c>
      <c r="I70" s="6" t="s">
        <v>21</v>
      </c>
      <c r="J70" s="6" t="s">
        <v>56</v>
      </c>
      <c r="K70" s="6">
        <v>65</v>
      </c>
      <c r="L70" s="6" t="s">
        <v>21</v>
      </c>
    </row>
    <row r="71" spans="1:12" ht="29.25">
      <c r="A71" s="6">
        <v>67</v>
      </c>
      <c r="B71" s="7" t="s">
        <v>230</v>
      </c>
      <c r="C71" s="6"/>
      <c r="D71" s="6" t="s">
        <v>236</v>
      </c>
      <c r="E71" s="6" t="s">
        <v>53</v>
      </c>
      <c r="F71" s="7" t="s">
        <v>54</v>
      </c>
      <c r="G71" s="6"/>
      <c r="H71" s="6"/>
      <c r="I71" s="6" t="s">
        <v>21</v>
      </c>
      <c r="J71" s="6" t="s">
        <v>16</v>
      </c>
      <c r="K71" s="6"/>
      <c r="L71" s="6"/>
    </row>
    <row r="72" spans="1:12">
      <c r="A72" s="6">
        <v>68</v>
      </c>
      <c r="B72" s="7" t="s">
        <v>230</v>
      </c>
      <c r="C72" s="6"/>
      <c r="D72" s="7" t="s">
        <v>237</v>
      </c>
      <c r="E72" s="6" t="s">
        <v>91</v>
      </c>
      <c r="F72" s="7"/>
      <c r="G72" s="6"/>
      <c r="H72" s="6" t="s">
        <v>233</v>
      </c>
      <c r="I72" s="6" t="s">
        <v>21</v>
      </c>
      <c r="J72" s="6" t="s">
        <v>56</v>
      </c>
      <c r="K72" s="6">
        <v>67</v>
      </c>
      <c r="L72" s="6" t="s">
        <v>21</v>
      </c>
    </row>
    <row r="73" spans="1:12" ht="29.25">
      <c r="A73" s="6">
        <v>69</v>
      </c>
      <c r="B73" s="8" t="s">
        <v>168</v>
      </c>
      <c r="C73" s="8" t="s">
        <v>163</v>
      </c>
      <c r="D73" s="7" t="s">
        <v>164</v>
      </c>
      <c r="E73" s="6"/>
      <c r="F73" s="7"/>
      <c r="G73" s="6"/>
      <c r="H73" s="6"/>
      <c r="I73" s="6" t="s">
        <v>21</v>
      </c>
      <c r="J73" s="6" t="s">
        <v>16</v>
      </c>
      <c r="K73" s="6"/>
      <c r="L73" s="6"/>
    </row>
    <row r="74" spans="1:12" ht="174">
      <c r="A74" s="6">
        <v>70</v>
      </c>
      <c r="B74" s="7" t="s">
        <v>238</v>
      </c>
      <c r="C74" s="6" t="s">
        <v>168</v>
      </c>
      <c r="D74" s="7" t="s">
        <v>239</v>
      </c>
      <c r="E74" s="11"/>
      <c r="F74" s="7"/>
      <c r="G74" s="6"/>
      <c r="H74" s="7"/>
      <c r="I74" s="6"/>
      <c r="J74" s="6" t="s">
        <v>16</v>
      </c>
      <c r="K74" s="6"/>
      <c r="L74" s="6"/>
    </row>
    <row r="75" spans="1:12" ht="29.25">
      <c r="A75" s="6">
        <v>71</v>
      </c>
      <c r="B75" s="7" t="s">
        <v>238</v>
      </c>
      <c r="C75" s="6" t="s">
        <v>168</v>
      </c>
      <c r="D75" s="7" t="s">
        <v>240</v>
      </c>
      <c r="E75" s="6" t="s">
        <v>53</v>
      </c>
      <c r="F75" s="7" t="s">
        <v>54</v>
      </c>
      <c r="G75" s="6" t="s">
        <v>170</v>
      </c>
      <c r="H75" s="6" t="s">
        <v>171</v>
      </c>
      <c r="I75" s="6" t="s">
        <v>21</v>
      </c>
      <c r="J75" s="6" t="s">
        <v>16</v>
      </c>
      <c r="K75" s="6"/>
      <c r="L75" s="6"/>
    </row>
    <row r="76" spans="1:12" ht="15.75">
      <c r="D76"/>
      <c r="E76" s="4"/>
      <c r="F76" s="3"/>
      <c r="H76" s="3"/>
    </row>
    <row r="77" spans="1:12">
      <c r="F77" s="3"/>
    </row>
    <row r="78" spans="1:12" ht="15.75">
      <c r="E78" s="4"/>
      <c r="F78" s="3"/>
      <c r="H78" s="3"/>
    </row>
    <row r="79" spans="1:12" ht="15.75">
      <c r="E79" s="4"/>
      <c r="F79" s="3"/>
      <c r="H79" s="3"/>
    </row>
    <row r="80" spans="1:12" ht="15.75">
      <c r="E80" s="4"/>
      <c r="F80" s="3"/>
      <c r="H80" s="3"/>
    </row>
    <row r="81" spans="5:8" ht="15.75">
      <c r="E81" s="4"/>
      <c r="F81" s="3"/>
      <c r="H81" s="3"/>
    </row>
    <row r="82" spans="5:8" ht="15.75">
      <c r="E82" s="4"/>
      <c r="F82" s="3"/>
      <c r="H82" s="3"/>
    </row>
    <row r="83" spans="5:8" ht="15.75">
      <c r="E83" s="4"/>
      <c r="F83" s="3"/>
      <c r="H83" s="3"/>
    </row>
    <row r="84" spans="5:8">
      <c r="F84" s="3"/>
    </row>
    <row r="85" spans="5:8" ht="15.75">
      <c r="E85" s="4"/>
      <c r="F85" s="3"/>
      <c r="H85" s="3"/>
    </row>
    <row r="86" spans="5:8" ht="15.75">
      <c r="E86" s="4"/>
      <c r="F86" s="3"/>
      <c r="H86" s="3"/>
    </row>
    <row r="87" spans="5:8" ht="15.75">
      <c r="E87" s="4"/>
      <c r="F87" s="3"/>
      <c r="H87" s="3"/>
    </row>
    <row r="88" spans="5:8" ht="15.75">
      <c r="E88" s="4"/>
      <c r="F88" s="3"/>
      <c r="H88" s="3"/>
    </row>
    <row r="89" spans="5:8" ht="15.75">
      <c r="E89" s="4"/>
      <c r="F89" s="3"/>
      <c r="H89" s="3"/>
    </row>
    <row r="90" spans="5:8" ht="15.75">
      <c r="E90" s="4"/>
      <c r="F90" s="3"/>
      <c r="H90" s="3"/>
    </row>
    <row r="91" spans="5:8" ht="18" customHeight="1">
      <c r="E91" s="4"/>
      <c r="F91" s="3"/>
      <c r="H91" s="3"/>
    </row>
    <row r="92" spans="5:8" ht="15.75">
      <c r="E92" s="4"/>
      <c r="F92" s="3"/>
      <c r="H92" s="3"/>
    </row>
    <row r="93" spans="5:8" ht="15.75">
      <c r="E93" s="4"/>
      <c r="F93" s="3"/>
      <c r="H93" s="3"/>
    </row>
    <row r="94" spans="5:8">
      <c r="F94" s="3"/>
    </row>
    <row r="95" spans="5:8" ht="15.75">
      <c r="E95" s="4"/>
      <c r="F95" s="3"/>
      <c r="H95" s="3"/>
    </row>
    <row r="96" spans="5:8" ht="18" customHeight="1">
      <c r="E96" s="4"/>
      <c r="F96" s="3"/>
      <c r="H96" s="3"/>
    </row>
    <row r="97" spans="1:10" ht="15.75">
      <c r="E97" s="4"/>
      <c r="F97" s="3"/>
      <c r="H97" s="3"/>
    </row>
    <row r="98" spans="1:10" ht="15.75">
      <c r="C98" s="3"/>
      <c r="E98" s="4"/>
      <c r="G98" s="3"/>
      <c r="H98" s="3"/>
    </row>
    <row r="99" spans="1:10" ht="15.75">
      <c r="C99" s="3"/>
      <c r="E99" s="4"/>
    </row>
    <row r="100" spans="1:10" ht="15.75">
      <c r="C100" s="3"/>
      <c r="D100"/>
      <c r="E100" s="4"/>
      <c r="F100" s="3"/>
      <c r="G100" s="3"/>
      <c r="H100" s="3"/>
    </row>
    <row r="101" spans="1:10">
      <c r="A101" s="5"/>
      <c r="B101" s="13"/>
      <c r="C101" s="13"/>
      <c r="D101" s="13"/>
      <c r="E101" s="5"/>
      <c r="F101" s="5"/>
      <c r="G101" s="5"/>
      <c r="H101" s="5"/>
      <c r="I101" s="5"/>
      <c r="J101" s="5"/>
    </row>
    <row r="103" spans="1:10" ht="15.75">
      <c r="E103" s="4"/>
    </row>
    <row r="104" spans="1:10" ht="15.75">
      <c r="E104" s="4"/>
    </row>
    <row r="106" spans="1:10">
      <c r="A106" s="5"/>
      <c r="B106" s="13"/>
      <c r="C106" s="13"/>
      <c r="D106" s="13"/>
      <c r="E106" s="5"/>
      <c r="F106" s="5"/>
      <c r="G106" s="5"/>
      <c r="H106" s="5"/>
      <c r="I106" s="5"/>
      <c r="J106" s="5"/>
    </row>
    <row r="107" spans="1:10">
      <c r="A107">
        <v>89</v>
      </c>
    </row>
    <row r="108" spans="1:10">
      <c r="A108">
        <v>90</v>
      </c>
    </row>
  </sheetData>
  <mergeCells count="2">
    <mergeCell ref="B101:D101"/>
    <mergeCell ref="B106:D106"/>
  </mergeCells>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4F434-1853-429A-9239-6FA2104DD624}">
  <dimension ref="A1:M122"/>
  <sheetViews>
    <sheetView zoomScale="115" zoomScaleNormal="115" workbookViewId="0">
      <pane ySplit="4" topLeftCell="D32" activePane="bottomLeft" state="frozen"/>
      <selection pane="bottomLeft" activeCell="G33" sqref="G33"/>
    </sheetView>
  </sheetViews>
  <sheetFormatPr defaultRowHeight="15"/>
  <cols>
    <col min="1" max="1" width="5.140625" bestFit="1" customWidth="1"/>
    <col min="2" max="2" width="20" bestFit="1" customWidth="1"/>
    <col min="3" max="3" width="23.5703125" style="3" bestFit="1" customWidth="1"/>
    <col min="4" max="4" width="60.85546875" style="3" bestFit="1" customWidth="1"/>
    <col min="5" max="5" width="32.85546875" style="3" customWidth="1"/>
    <col min="6" max="6" width="24" customWidth="1"/>
    <col min="7" max="7" width="25.42578125" customWidth="1"/>
    <col min="8" max="8" width="27.42578125" bestFit="1" customWidth="1"/>
    <col min="9" max="9" width="19.140625" bestFit="1" customWidth="1"/>
    <col min="10" max="10" width="20.28515625" bestFit="1" customWidth="1"/>
    <col min="11" max="11" width="19.140625" bestFit="1" customWidth="1"/>
    <col min="12" max="12" width="16.5703125" customWidth="1"/>
    <col min="13" max="13" width="27.7109375" customWidth="1"/>
  </cols>
  <sheetData>
    <row r="1" spans="1:13">
      <c r="C1" t="str">
        <f>COUNTA(Tabel1[nr])&amp;" velden"</f>
        <v>115 velden</v>
      </c>
      <c r="D1" t="s">
        <v>241</v>
      </c>
      <c r="E1" t="str">
        <f>COUNTA(Tabel1[[Validaties ]])&amp;" velden met validatie"</f>
        <v>69 velden met validatie</v>
      </c>
      <c r="F1" t="str">
        <f>COUNTA(Tabel1[Voorgaande vraag])&amp;" velden met voorgaande vraag"</f>
        <v>46 velden met voorgaande vraag</v>
      </c>
    </row>
    <row r="2" spans="1:13">
      <c r="C2"/>
      <c r="D2"/>
      <c r="E2"/>
    </row>
    <row r="3" spans="1:13">
      <c r="D3"/>
      <c r="E3"/>
    </row>
    <row r="4" spans="1:13" ht="30">
      <c r="A4" s="1" t="s">
        <v>1</v>
      </c>
      <c r="B4" s="2" t="s">
        <v>2</v>
      </c>
      <c r="C4" s="1" t="s">
        <v>3</v>
      </c>
      <c r="D4" s="2" t="s">
        <v>4</v>
      </c>
      <c r="E4" s="1" t="s">
        <v>5</v>
      </c>
      <c r="F4" s="1" t="s">
        <v>6</v>
      </c>
      <c r="G4" s="1" t="s">
        <v>7</v>
      </c>
      <c r="H4" s="1" t="s">
        <v>174</v>
      </c>
      <c r="I4" s="1" t="s">
        <v>9</v>
      </c>
      <c r="J4" s="1" t="s">
        <v>10</v>
      </c>
      <c r="K4" s="1" t="s">
        <v>11</v>
      </c>
      <c r="L4" s="2" t="s">
        <v>12</v>
      </c>
    </row>
    <row r="5" spans="1:13" ht="361.5">
      <c r="A5" s="6">
        <v>1</v>
      </c>
      <c r="B5" s="8" t="s">
        <v>175</v>
      </c>
      <c r="C5" s="8"/>
      <c r="D5" s="7" t="s">
        <v>242</v>
      </c>
      <c r="E5" s="6"/>
      <c r="F5" s="7"/>
      <c r="G5" s="6"/>
      <c r="H5" s="6"/>
      <c r="I5" s="6"/>
      <c r="J5" s="6" t="s">
        <v>16</v>
      </c>
      <c r="K5" s="6"/>
      <c r="L5" s="6"/>
    </row>
    <row r="6" spans="1:13" ht="135">
      <c r="A6" s="6">
        <v>2</v>
      </c>
      <c r="B6" s="8" t="s">
        <v>175</v>
      </c>
      <c r="C6" s="8"/>
      <c r="D6" s="7" t="s">
        <v>243</v>
      </c>
      <c r="E6" s="6" t="s">
        <v>61</v>
      </c>
      <c r="F6" s="7" t="s">
        <v>244</v>
      </c>
      <c r="G6" s="6"/>
      <c r="H6" s="6"/>
      <c r="I6" s="6" t="s">
        <v>21</v>
      </c>
      <c r="J6" s="6" t="s">
        <v>16</v>
      </c>
      <c r="K6" s="6"/>
      <c r="L6" s="6"/>
    </row>
    <row r="7" spans="1:13">
      <c r="A7" s="6">
        <v>3</v>
      </c>
      <c r="B7" s="8" t="s">
        <v>175</v>
      </c>
      <c r="C7" s="8"/>
      <c r="D7" s="7" t="s">
        <v>245</v>
      </c>
      <c r="E7" s="6" t="s">
        <v>23</v>
      </c>
      <c r="F7" s="7"/>
      <c r="G7" s="6"/>
      <c r="H7" s="6" t="s">
        <v>246</v>
      </c>
      <c r="I7" s="6" t="s">
        <v>21</v>
      </c>
      <c r="J7" s="6" t="s">
        <v>16</v>
      </c>
      <c r="K7" s="6"/>
      <c r="L7" s="6"/>
    </row>
    <row r="8" spans="1:13" ht="270">
      <c r="A8" s="6">
        <v>4</v>
      </c>
      <c r="B8" s="8" t="s">
        <v>175</v>
      </c>
      <c r="C8" s="8"/>
      <c r="D8" s="7" t="s">
        <v>247</v>
      </c>
      <c r="E8" s="6" t="s">
        <v>53</v>
      </c>
      <c r="F8" s="7" t="s">
        <v>248</v>
      </c>
      <c r="G8" s="6"/>
      <c r="H8" s="6"/>
      <c r="I8" s="6" t="s">
        <v>21</v>
      </c>
      <c r="J8" s="6" t="s">
        <v>16</v>
      </c>
      <c r="K8" s="6"/>
      <c r="L8" s="6"/>
    </row>
    <row r="9" spans="1:13" ht="57.75">
      <c r="A9" s="6">
        <v>5</v>
      </c>
      <c r="B9" s="8" t="s">
        <v>249</v>
      </c>
      <c r="C9" s="8"/>
      <c r="D9" s="7" t="s">
        <v>250</v>
      </c>
      <c r="E9" s="6"/>
      <c r="F9" s="7"/>
      <c r="G9" s="6"/>
      <c r="H9" s="6"/>
      <c r="I9" s="6"/>
      <c r="J9" s="6" t="s">
        <v>16</v>
      </c>
      <c r="K9" s="6"/>
      <c r="L9" s="6"/>
    </row>
    <row r="10" spans="1:13" ht="29.25">
      <c r="A10" s="6">
        <v>6</v>
      </c>
      <c r="B10" s="8" t="s">
        <v>249</v>
      </c>
      <c r="C10" s="8"/>
      <c r="D10" s="7" t="s">
        <v>251</v>
      </c>
      <c r="E10" s="6" t="s">
        <v>53</v>
      </c>
      <c r="F10" s="7" t="s">
        <v>54</v>
      </c>
      <c r="G10" s="6"/>
      <c r="H10" s="6"/>
      <c r="I10" s="6" t="s">
        <v>21</v>
      </c>
      <c r="J10" s="6" t="s">
        <v>16</v>
      </c>
      <c r="K10" s="6"/>
      <c r="L10" s="6"/>
    </row>
    <row r="11" spans="1:13" ht="115.5">
      <c r="A11" s="6">
        <v>7</v>
      </c>
      <c r="B11" s="8" t="s">
        <v>249</v>
      </c>
      <c r="C11" s="8"/>
      <c r="D11" s="7" t="s">
        <v>252</v>
      </c>
      <c r="E11" s="6"/>
      <c r="F11" s="7"/>
      <c r="G11" s="6"/>
      <c r="H11" s="6"/>
      <c r="I11" s="6"/>
      <c r="J11" s="6" t="s">
        <v>253</v>
      </c>
      <c r="K11" s="6">
        <v>6</v>
      </c>
      <c r="L11" s="6" t="s">
        <v>27</v>
      </c>
      <c r="M11" s="1"/>
    </row>
    <row r="12" spans="1:13" ht="30">
      <c r="A12" s="6">
        <v>8</v>
      </c>
      <c r="B12" s="8" t="s">
        <v>249</v>
      </c>
      <c r="C12" s="8"/>
      <c r="D12" s="7" t="s">
        <v>254</v>
      </c>
      <c r="E12" s="6" t="s">
        <v>53</v>
      </c>
      <c r="F12" s="7" t="s">
        <v>54</v>
      </c>
      <c r="G12" s="6"/>
      <c r="H12" s="6"/>
      <c r="I12" s="6" t="s">
        <v>21</v>
      </c>
      <c r="J12" s="6" t="s">
        <v>253</v>
      </c>
      <c r="K12" s="6">
        <v>6</v>
      </c>
      <c r="L12" s="6" t="s">
        <v>21</v>
      </c>
    </row>
    <row r="13" spans="1:13" ht="30">
      <c r="A13" s="6">
        <v>9</v>
      </c>
      <c r="B13" s="8" t="s">
        <v>249</v>
      </c>
      <c r="C13" s="8"/>
      <c r="D13" s="7" t="s">
        <v>255</v>
      </c>
      <c r="E13" s="6" t="s">
        <v>53</v>
      </c>
      <c r="F13" s="7" t="s">
        <v>54</v>
      </c>
      <c r="G13" s="6"/>
      <c r="H13" s="6"/>
      <c r="I13" s="6" t="s">
        <v>21</v>
      </c>
      <c r="J13" s="6" t="s">
        <v>253</v>
      </c>
      <c r="K13" s="6">
        <v>8</v>
      </c>
      <c r="L13" s="6" t="s">
        <v>27</v>
      </c>
    </row>
    <row r="14" spans="1:13" ht="130.5">
      <c r="A14" s="6">
        <v>10</v>
      </c>
      <c r="B14" s="8" t="s">
        <v>249</v>
      </c>
      <c r="C14" s="8"/>
      <c r="D14" s="7" t="s">
        <v>256</v>
      </c>
      <c r="E14" s="6"/>
      <c r="F14" s="7"/>
      <c r="G14" s="6"/>
      <c r="H14" s="6"/>
      <c r="I14" s="6"/>
      <c r="J14" s="6" t="s">
        <v>253</v>
      </c>
      <c r="K14" s="6">
        <v>9</v>
      </c>
      <c r="L14" s="6" t="s">
        <v>27</v>
      </c>
    </row>
    <row r="15" spans="1:13" ht="30">
      <c r="A15" s="6">
        <v>11</v>
      </c>
      <c r="B15" s="8" t="s">
        <v>249</v>
      </c>
      <c r="C15" s="8"/>
      <c r="D15" s="7" t="s">
        <v>257</v>
      </c>
      <c r="E15" s="6" t="s">
        <v>53</v>
      </c>
      <c r="F15" s="7" t="s">
        <v>54</v>
      </c>
      <c r="G15" s="6"/>
      <c r="H15" s="6"/>
      <c r="I15" s="6" t="s">
        <v>21</v>
      </c>
      <c r="J15" s="6" t="s">
        <v>253</v>
      </c>
      <c r="K15" s="6">
        <v>8</v>
      </c>
      <c r="L15" s="6" t="s">
        <v>21</v>
      </c>
    </row>
    <row r="16" spans="1:13" ht="130.5">
      <c r="A16" s="6">
        <v>12</v>
      </c>
      <c r="B16" s="8" t="s">
        <v>249</v>
      </c>
      <c r="C16" s="8"/>
      <c r="D16" s="7" t="s">
        <v>258</v>
      </c>
      <c r="E16" s="6"/>
      <c r="F16" s="7"/>
      <c r="G16" s="6"/>
      <c r="H16" s="6"/>
      <c r="I16" s="6"/>
      <c r="J16" s="6" t="s">
        <v>253</v>
      </c>
      <c r="K16" s="6">
        <v>11</v>
      </c>
      <c r="L16" s="6" t="s">
        <v>27</v>
      </c>
    </row>
    <row r="17" spans="1:12" ht="30">
      <c r="A17" s="6">
        <v>13</v>
      </c>
      <c r="B17" s="8" t="s">
        <v>249</v>
      </c>
      <c r="C17" s="8"/>
      <c r="D17" s="7" t="s">
        <v>259</v>
      </c>
      <c r="E17" s="6" t="s">
        <v>53</v>
      </c>
      <c r="F17" s="7" t="s">
        <v>54</v>
      </c>
      <c r="G17" s="6"/>
      <c r="H17" s="6"/>
      <c r="I17" s="6" t="s">
        <v>21</v>
      </c>
      <c r="J17" s="6" t="s">
        <v>253</v>
      </c>
      <c r="K17" s="6">
        <v>11</v>
      </c>
      <c r="L17" s="6" t="s">
        <v>21</v>
      </c>
    </row>
    <row r="18" spans="1:12" ht="130.5">
      <c r="A18" s="6">
        <v>14</v>
      </c>
      <c r="B18" s="8" t="s">
        <v>249</v>
      </c>
      <c r="C18" s="8"/>
      <c r="D18" s="7" t="s">
        <v>260</v>
      </c>
      <c r="E18" s="6"/>
      <c r="F18" s="7"/>
      <c r="G18" s="6"/>
      <c r="H18" s="6"/>
      <c r="I18" s="6"/>
      <c r="J18" s="6" t="s">
        <v>253</v>
      </c>
      <c r="K18" s="6">
        <v>13</v>
      </c>
      <c r="L18" s="6" t="s">
        <v>27</v>
      </c>
    </row>
    <row r="19" spans="1:12" ht="43.5">
      <c r="A19" s="6">
        <v>15</v>
      </c>
      <c r="B19" s="8" t="s">
        <v>249</v>
      </c>
      <c r="C19" s="8"/>
      <c r="D19" s="7" t="s">
        <v>261</v>
      </c>
      <c r="E19" s="6" t="s">
        <v>53</v>
      </c>
      <c r="F19" s="7" t="s">
        <v>54</v>
      </c>
      <c r="G19" s="6"/>
      <c r="H19" s="6"/>
      <c r="I19" s="6" t="s">
        <v>21</v>
      </c>
      <c r="J19" s="6" t="s">
        <v>253</v>
      </c>
      <c r="K19" s="6">
        <v>13</v>
      </c>
      <c r="L19" s="6" t="s">
        <v>21</v>
      </c>
    </row>
    <row r="20" spans="1:12" ht="130.5">
      <c r="A20" s="6">
        <v>16</v>
      </c>
      <c r="B20" s="8" t="s">
        <v>249</v>
      </c>
      <c r="C20" s="8"/>
      <c r="D20" s="7" t="s">
        <v>262</v>
      </c>
      <c r="E20" s="6"/>
      <c r="F20" s="7"/>
      <c r="G20" s="6"/>
      <c r="H20" s="6"/>
      <c r="I20" s="6"/>
      <c r="J20" s="6" t="s">
        <v>253</v>
      </c>
      <c r="K20" s="6">
        <v>15</v>
      </c>
      <c r="L20" s="6" t="s">
        <v>27</v>
      </c>
    </row>
    <row r="21" spans="1:12" ht="60">
      <c r="A21" s="6">
        <v>17</v>
      </c>
      <c r="B21" s="8" t="s">
        <v>263</v>
      </c>
      <c r="C21" s="8" t="s">
        <v>264</v>
      </c>
      <c r="D21" s="7" t="s">
        <v>265</v>
      </c>
      <c r="E21" s="6"/>
      <c r="F21" s="7"/>
      <c r="G21" s="6"/>
      <c r="H21" s="6"/>
      <c r="I21" s="6"/>
      <c r="J21" s="6" t="s">
        <v>16</v>
      </c>
      <c r="K21" s="6"/>
      <c r="L21" s="6"/>
    </row>
    <row r="22" spans="1:12">
      <c r="A22" s="6">
        <v>18</v>
      </c>
      <c r="B22" s="8" t="s">
        <v>263</v>
      </c>
      <c r="C22" s="8" t="s">
        <v>264</v>
      </c>
      <c r="D22" s="7" t="s">
        <v>22</v>
      </c>
      <c r="E22" s="6" t="s">
        <v>23</v>
      </c>
      <c r="F22" s="7"/>
      <c r="G22" s="6" t="s">
        <v>266</v>
      </c>
      <c r="H22" s="6"/>
      <c r="I22" s="6" t="s">
        <v>21</v>
      </c>
      <c r="J22" s="6" t="s">
        <v>16</v>
      </c>
      <c r="K22" s="6"/>
      <c r="L22" s="6"/>
    </row>
    <row r="23" spans="1:12">
      <c r="A23" s="6">
        <v>19</v>
      </c>
      <c r="B23" s="8" t="s">
        <v>263</v>
      </c>
      <c r="C23" s="8" t="s">
        <v>264</v>
      </c>
      <c r="D23" s="7" t="s">
        <v>25</v>
      </c>
      <c r="E23" s="6" t="s">
        <v>23</v>
      </c>
      <c r="F23" s="7"/>
      <c r="G23" s="6" t="s">
        <v>266</v>
      </c>
      <c r="H23" s="6"/>
      <c r="I23" s="6" t="s">
        <v>21</v>
      </c>
      <c r="J23" s="6" t="s">
        <v>16</v>
      </c>
      <c r="K23" s="6"/>
      <c r="L23" s="6"/>
    </row>
    <row r="24" spans="1:12">
      <c r="A24" s="6">
        <v>20</v>
      </c>
      <c r="B24" s="8" t="s">
        <v>263</v>
      </c>
      <c r="C24" s="8" t="s">
        <v>264</v>
      </c>
      <c r="D24" s="7" t="s">
        <v>267</v>
      </c>
      <c r="E24" s="6" t="s">
        <v>23</v>
      </c>
      <c r="F24" s="7"/>
      <c r="G24" s="6" t="s">
        <v>266</v>
      </c>
      <c r="H24" s="6"/>
      <c r="I24" s="6" t="s">
        <v>21</v>
      </c>
      <c r="J24" s="6" t="s">
        <v>16</v>
      </c>
      <c r="K24" s="6"/>
      <c r="L24" s="6"/>
    </row>
    <row r="25" spans="1:12">
      <c r="A25" s="6">
        <v>21</v>
      </c>
      <c r="B25" s="8" t="s">
        <v>263</v>
      </c>
      <c r="C25" s="8" t="s">
        <v>33</v>
      </c>
      <c r="D25" s="7" t="s">
        <v>268</v>
      </c>
      <c r="E25" s="6" t="s">
        <v>23</v>
      </c>
      <c r="F25" s="7"/>
      <c r="G25" s="6"/>
      <c r="H25" s="6" t="s">
        <v>35</v>
      </c>
      <c r="I25" s="6" t="s">
        <v>21</v>
      </c>
      <c r="J25" s="6" t="s">
        <v>16</v>
      </c>
      <c r="K25" s="6"/>
      <c r="L25" s="6"/>
    </row>
    <row r="26" spans="1:12">
      <c r="A26" s="6">
        <v>22</v>
      </c>
      <c r="B26" s="8" t="s">
        <v>263</v>
      </c>
      <c r="C26" s="8" t="s">
        <v>33</v>
      </c>
      <c r="D26" s="7" t="s">
        <v>77</v>
      </c>
      <c r="E26" s="6" t="s">
        <v>18</v>
      </c>
      <c r="F26" s="7"/>
      <c r="G26" s="6"/>
      <c r="H26" s="6" t="s">
        <v>269</v>
      </c>
      <c r="I26" s="6" t="s">
        <v>21</v>
      </c>
      <c r="J26" s="6" t="s">
        <v>16</v>
      </c>
      <c r="K26" s="6"/>
      <c r="L26" s="6"/>
    </row>
    <row r="27" spans="1:12">
      <c r="A27" s="6">
        <v>23</v>
      </c>
      <c r="B27" s="8" t="s">
        <v>263</v>
      </c>
      <c r="C27" s="8" t="s">
        <v>33</v>
      </c>
      <c r="D27" s="7" t="s">
        <v>38</v>
      </c>
      <c r="E27" s="6" t="s">
        <v>23</v>
      </c>
      <c r="F27" s="7"/>
      <c r="G27" s="6"/>
      <c r="H27" s="6" t="s">
        <v>39</v>
      </c>
      <c r="I27" s="6" t="s">
        <v>27</v>
      </c>
      <c r="J27" s="6" t="s">
        <v>16</v>
      </c>
      <c r="K27" s="6"/>
      <c r="L27" s="6"/>
    </row>
    <row r="28" spans="1:12">
      <c r="A28" s="6">
        <v>24</v>
      </c>
      <c r="B28" s="8" t="s">
        <v>263</v>
      </c>
      <c r="C28" s="8" t="s">
        <v>33</v>
      </c>
      <c r="D28" s="7" t="s">
        <v>40</v>
      </c>
      <c r="E28" s="6" t="s">
        <v>23</v>
      </c>
      <c r="F28" s="7"/>
      <c r="G28" s="6"/>
      <c r="H28" s="6" t="s">
        <v>41</v>
      </c>
      <c r="I28" s="6" t="s">
        <v>27</v>
      </c>
      <c r="J28" s="6" t="s">
        <v>16</v>
      </c>
      <c r="K28" s="6"/>
      <c r="L28" s="6"/>
    </row>
    <row r="29" spans="1:12">
      <c r="A29" s="6">
        <v>25</v>
      </c>
      <c r="B29" s="8" t="s">
        <v>263</v>
      </c>
      <c r="C29" s="8" t="s">
        <v>33</v>
      </c>
      <c r="D29" s="7" t="s">
        <v>42</v>
      </c>
      <c r="E29" s="6" t="s">
        <v>23</v>
      </c>
      <c r="F29" s="7"/>
      <c r="G29" s="6"/>
      <c r="H29" s="6" t="s">
        <v>29</v>
      </c>
      <c r="I29" s="6" t="s">
        <v>21</v>
      </c>
      <c r="J29" s="6" t="s">
        <v>16</v>
      </c>
      <c r="K29" s="6"/>
      <c r="L29" s="6"/>
    </row>
    <row r="30" spans="1:12">
      <c r="A30" s="6">
        <v>26</v>
      </c>
      <c r="B30" s="8" t="s">
        <v>263</v>
      </c>
      <c r="C30" s="8" t="s">
        <v>33</v>
      </c>
      <c r="D30" s="7" t="s">
        <v>43</v>
      </c>
      <c r="E30" s="6" t="s">
        <v>23</v>
      </c>
      <c r="F30" s="7"/>
      <c r="G30" s="6" t="s">
        <v>266</v>
      </c>
      <c r="H30" s="6"/>
      <c r="I30" s="6" t="s">
        <v>21</v>
      </c>
      <c r="J30" s="6" t="s">
        <v>16</v>
      </c>
      <c r="K30" s="6"/>
      <c r="L30" s="6"/>
    </row>
    <row r="31" spans="1:12">
      <c r="A31" s="6">
        <v>27</v>
      </c>
      <c r="B31" s="8" t="s">
        <v>263</v>
      </c>
      <c r="C31" s="8" t="s">
        <v>270</v>
      </c>
      <c r="D31" s="7" t="s">
        <v>46</v>
      </c>
      <c r="E31" s="6" t="s">
        <v>23</v>
      </c>
      <c r="F31" s="7"/>
      <c r="G31" s="6" t="s">
        <v>266</v>
      </c>
      <c r="H31" s="6"/>
      <c r="I31" s="6" t="s">
        <v>21</v>
      </c>
      <c r="J31" s="6" t="s">
        <v>16</v>
      </c>
      <c r="K31" s="6"/>
      <c r="L31" s="6"/>
    </row>
    <row r="32" spans="1:12">
      <c r="A32" s="6">
        <v>28</v>
      </c>
      <c r="B32" s="8" t="s">
        <v>263</v>
      </c>
      <c r="C32" s="8" t="s">
        <v>270</v>
      </c>
      <c r="D32" s="7" t="s">
        <v>48</v>
      </c>
      <c r="E32" s="6" t="s">
        <v>23</v>
      </c>
      <c r="F32" s="7"/>
      <c r="G32" s="6" t="s">
        <v>266</v>
      </c>
      <c r="H32" s="6"/>
      <c r="I32" s="6" t="s">
        <v>21</v>
      </c>
      <c r="J32" s="6" t="s">
        <v>16</v>
      </c>
      <c r="K32" s="6"/>
      <c r="L32" s="6"/>
    </row>
    <row r="33" spans="1:12" ht="188.25">
      <c r="A33" s="6">
        <v>29</v>
      </c>
      <c r="B33" s="8" t="s">
        <v>271</v>
      </c>
      <c r="C33" s="8"/>
      <c r="D33" s="7" t="s">
        <v>272</v>
      </c>
      <c r="E33" s="6"/>
      <c r="F33" s="7"/>
      <c r="G33" s="6"/>
      <c r="H33" s="6"/>
      <c r="I33" s="6"/>
      <c r="J33" s="6" t="s">
        <v>16</v>
      </c>
      <c r="K33" s="6"/>
      <c r="L33" s="6"/>
    </row>
    <row r="34" spans="1:12" ht="30">
      <c r="A34" s="6">
        <v>30</v>
      </c>
      <c r="B34" s="8" t="s">
        <v>271</v>
      </c>
      <c r="C34" s="8"/>
      <c r="D34" s="7" t="s">
        <v>273</v>
      </c>
      <c r="E34" s="6" t="s">
        <v>53</v>
      </c>
      <c r="F34" s="7" t="s">
        <v>54</v>
      </c>
      <c r="G34" s="6"/>
      <c r="H34" s="6"/>
      <c r="I34" s="6" t="s">
        <v>21</v>
      </c>
      <c r="J34" s="6" t="s">
        <v>16</v>
      </c>
      <c r="K34" s="6"/>
      <c r="L34" s="6"/>
    </row>
    <row r="35" spans="1:12">
      <c r="A35" s="6">
        <v>31</v>
      </c>
      <c r="B35" s="8" t="s">
        <v>271</v>
      </c>
      <c r="C35" s="8" t="s">
        <v>274</v>
      </c>
      <c r="D35" s="7" t="s">
        <v>17</v>
      </c>
      <c r="E35" s="6" t="s">
        <v>18</v>
      </c>
      <c r="F35" s="7"/>
      <c r="G35" s="6"/>
      <c r="H35" s="6" t="s">
        <v>20</v>
      </c>
      <c r="I35" s="6" t="s">
        <v>21</v>
      </c>
      <c r="J35" s="6" t="s">
        <v>56</v>
      </c>
      <c r="K35" s="6">
        <v>30</v>
      </c>
      <c r="L35" s="6" t="s">
        <v>21</v>
      </c>
    </row>
    <row r="36" spans="1:12">
      <c r="A36" s="6">
        <v>32</v>
      </c>
      <c r="B36" s="8" t="s">
        <v>271</v>
      </c>
      <c r="C36" s="8" t="s">
        <v>274</v>
      </c>
      <c r="D36" s="7" t="s">
        <v>22</v>
      </c>
      <c r="E36" s="6" t="s">
        <v>23</v>
      </c>
      <c r="F36" s="7"/>
      <c r="G36" s="6"/>
      <c r="H36" s="6" t="s">
        <v>24</v>
      </c>
      <c r="I36" s="6" t="s">
        <v>21</v>
      </c>
      <c r="J36" s="6" t="s">
        <v>56</v>
      </c>
      <c r="K36" s="6">
        <v>30</v>
      </c>
      <c r="L36" s="6" t="s">
        <v>21</v>
      </c>
    </row>
    <row r="37" spans="1:12">
      <c r="A37" s="6">
        <v>33</v>
      </c>
      <c r="B37" s="8" t="s">
        <v>271</v>
      </c>
      <c r="C37" s="8" t="s">
        <v>274</v>
      </c>
      <c r="D37" s="7" t="s">
        <v>25</v>
      </c>
      <c r="E37" s="6" t="s">
        <v>23</v>
      </c>
      <c r="F37" s="7"/>
      <c r="G37" s="6"/>
      <c r="H37" s="6" t="s">
        <v>26</v>
      </c>
      <c r="I37" s="6" t="s">
        <v>27</v>
      </c>
      <c r="J37" s="6" t="s">
        <v>56</v>
      </c>
      <c r="K37" s="6">
        <v>30</v>
      </c>
      <c r="L37" s="6" t="s">
        <v>21</v>
      </c>
    </row>
    <row r="38" spans="1:12">
      <c r="A38" s="6">
        <v>34</v>
      </c>
      <c r="B38" s="8" t="s">
        <v>271</v>
      </c>
      <c r="C38" s="8" t="s">
        <v>274</v>
      </c>
      <c r="D38" s="7" t="s">
        <v>28</v>
      </c>
      <c r="E38" s="6" t="s">
        <v>23</v>
      </c>
      <c r="F38" s="7"/>
      <c r="G38" s="6"/>
      <c r="H38" s="6" t="s">
        <v>29</v>
      </c>
      <c r="I38" s="6" t="s">
        <v>21</v>
      </c>
      <c r="J38" s="6" t="s">
        <v>56</v>
      </c>
      <c r="K38" s="6">
        <v>30</v>
      </c>
      <c r="L38" s="6" t="s">
        <v>21</v>
      </c>
    </row>
    <row r="39" spans="1:12">
      <c r="A39" s="6">
        <v>35</v>
      </c>
      <c r="B39" s="8" t="s">
        <v>271</v>
      </c>
      <c r="C39" s="8" t="s">
        <v>274</v>
      </c>
      <c r="D39" s="7" t="s">
        <v>30</v>
      </c>
      <c r="E39" s="6" t="s">
        <v>31</v>
      </c>
      <c r="F39" s="7"/>
      <c r="G39" s="6"/>
      <c r="H39" s="6" t="s">
        <v>76</v>
      </c>
      <c r="I39" s="6" t="s">
        <v>21</v>
      </c>
      <c r="J39" s="6" t="s">
        <v>56</v>
      </c>
      <c r="K39" s="6">
        <v>30</v>
      </c>
      <c r="L39" s="6" t="s">
        <v>21</v>
      </c>
    </row>
    <row r="40" spans="1:12">
      <c r="A40" s="6">
        <v>36</v>
      </c>
      <c r="B40" s="8" t="s">
        <v>271</v>
      </c>
      <c r="C40" s="8" t="s">
        <v>274</v>
      </c>
      <c r="D40" s="7" t="s">
        <v>48</v>
      </c>
      <c r="E40" s="6" t="s">
        <v>23</v>
      </c>
      <c r="F40" s="7"/>
      <c r="G40" s="6"/>
      <c r="H40" s="6" t="s">
        <v>49</v>
      </c>
      <c r="I40" s="6" t="s">
        <v>21</v>
      </c>
      <c r="J40" s="6" t="s">
        <v>56</v>
      </c>
      <c r="K40" s="6">
        <v>30</v>
      </c>
      <c r="L40" s="6" t="s">
        <v>21</v>
      </c>
    </row>
    <row r="41" spans="1:12" ht="45">
      <c r="A41" s="6">
        <v>37</v>
      </c>
      <c r="B41" s="8" t="s">
        <v>184</v>
      </c>
      <c r="C41" s="8"/>
      <c r="D41" s="7" t="s">
        <v>275</v>
      </c>
      <c r="E41" s="6"/>
      <c r="F41" s="7"/>
      <c r="G41" s="6"/>
      <c r="H41" s="6"/>
      <c r="I41" s="6"/>
      <c r="J41" s="6"/>
      <c r="K41" s="6"/>
      <c r="L41" s="6"/>
    </row>
    <row r="42" spans="1:12" ht="30">
      <c r="A42" s="6">
        <v>38</v>
      </c>
      <c r="B42" s="8" t="s">
        <v>184</v>
      </c>
      <c r="C42" s="8"/>
      <c r="D42" s="7" t="s">
        <v>188</v>
      </c>
      <c r="E42" s="6" t="s">
        <v>53</v>
      </c>
      <c r="F42" s="7" t="s">
        <v>54</v>
      </c>
      <c r="G42" s="6"/>
      <c r="H42" s="6"/>
      <c r="I42" s="6" t="s">
        <v>21</v>
      </c>
      <c r="J42" s="6" t="s">
        <v>16</v>
      </c>
      <c r="K42" s="6"/>
      <c r="L42" s="6"/>
    </row>
    <row r="43" spans="1:12">
      <c r="A43" s="6">
        <v>39</v>
      </c>
      <c r="B43" s="8" t="s">
        <v>184</v>
      </c>
      <c r="C43" s="8"/>
      <c r="D43" s="7" t="s">
        <v>276</v>
      </c>
      <c r="E43" s="6" t="s">
        <v>23</v>
      </c>
      <c r="F43" s="7"/>
      <c r="G43" s="6" t="s">
        <v>277</v>
      </c>
      <c r="H43" s="6" t="s">
        <v>68</v>
      </c>
      <c r="I43" s="6" t="s">
        <v>21</v>
      </c>
      <c r="J43" s="6" t="s">
        <v>56</v>
      </c>
      <c r="K43" s="6">
        <v>38</v>
      </c>
      <c r="L43" s="6" t="s">
        <v>21</v>
      </c>
    </row>
    <row r="44" spans="1:12">
      <c r="A44" s="6">
        <v>40</v>
      </c>
      <c r="B44" s="8" t="s">
        <v>69</v>
      </c>
      <c r="C44" s="8"/>
      <c r="D44" s="7" t="s">
        <v>70</v>
      </c>
      <c r="E44" s="6" t="s">
        <v>23</v>
      </c>
      <c r="F44" s="7"/>
      <c r="G44" s="6"/>
      <c r="H44" s="6" t="s">
        <v>71</v>
      </c>
      <c r="I44" s="6" t="s">
        <v>21</v>
      </c>
      <c r="J44" s="6" t="s">
        <v>16</v>
      </c>
      <c r="K44" s="6"/>
      <c r="L44" s="6"/>
    </row>
    <row r="45" spans="1:12">
      <c r="A45" s="6">
        <v>41</v>
      </c>
      <c r="B45" s="8" t="s">
        <v>69</v>
      </c>
      <c r="C45" s="8"/>
      <c r="D45" s="7" t="s">
        <v>72</v>
      </c>
      <c r="E45" s="6" t="s">
        <v>18</v>
      </c>
      <c r="F45" s="7"/>
      <c r="G45" s="6" t="s">
        <v>73</v>
      </c>
      <c r="H45" s="6" t="s">
        <v>74</v>
      </c>
      <c r="I45" s="6" t="s">
        <v>21</v>
      </c>
      <c r="J45" s="6" t="s">
        <v>16</v>
      </c>
      <c r="K45" s="6"/>
      <c r="L45" s="6"/>
    </row>
    <row r="46" spans="1:12">
      <c r="A46" s="6">
        <v>42</v>
      </c>
      <c r="B46" s="8" t="s">
        <v>69</v>
      </c>
      <c r="C46" s="8"/>
      <c r="D46" s="7" t="s">
        <v>278</v>
      </c>
      <c r="E46" s="6" t="s">
        <v>31</v>
      </c>
      <c r="F46" s="7"/>
      <c r="G46" s="6"/>
      <c r="H46" s="6" t="s">
        <v>76</v>
      </c>
      <c r="I46" s="6" t="s">
        <v>21</v>
      </c>
      <c r="J46" s="6" t="s">
        <v>16</v>
      </c>
      <c r="K46" s="6"/>
      <c r="L46" s="6"/>
    </row>
    <row r="47" spans="1:12">
      <c r="A47" s="6">
        <v>43</v>
      </c>
      <c r="B47" s="8" t="s">
        <v>69</v>
      </c>
      <c r="C47" s="8" t="s">
        <v>33</v>
      </c>
      <c r="D47" s="7" t="s">
        <v>34</v>
      </c>
      <c r="E47" s="6" t="s">
        <v>23</v>
      </c>
      <c r="F47" s="7"/>
      <c r="G47" s="6"/>
      <c r="H47" s="6" t="s">
        <v>35</v>
      </c>
      <c r="I47" s="6" t="s">
        <v>21</v>
      </c>
      <c r="J47" s="6" t="s">
        <v>16</v>
      </c>
      <c r="K47" s="6"/>
      <c r="L47" s="6"/>
    </row>
    <row r="48" spans="1:12">
      <c r="A48" s="6">
        <v>44</v>
      </c>
      <c r="B48" s="8" t="s">
        <v>69</v>
      </c>
      <c r="C48" s="8" t="s">
        <v>33</v>
      </c>
      <c r="D48" s="7" t="s">
        <v>36</v>
      </c>
      <c r="E48" s="6" t="s">
        <v>18</v>
      </c>
      <c r="F48" s="7"/>
      <c r="G48" s="6"/>
      <c r="H48" s="6" t="s">
        <v>37</v>
      </c>
      <c r="I48" s="6" t="s">
        <v>21</v>
      </c>
      <c r="J48" s="6" t="s">
        <v>16</v>
      </c>
      <c r="K48" s="6"/>
      <c r="L48" s="6"/>
    </row>
    <row r="49" spans="1:12">
      <c r="A49" s="6">
        <v>45</v>
      </c>
      <c r="B49" s="8" t="s">
        <v>69</v>
      </c>
      <c r="C49" s="8" t="s">
        <v>33</v>
      </c>
      <c r="D49" s="7" t="s">
        <v>38</v>
      </c>
      <c r="E49" s="6" t="s">
        <v>23</v>
      </c>
      <c r="F49" s="7"/>
      <c r="G49" s="6"/>
      <c r="H49" s="6" t="s">
        <v>39</v>
      </c>
      <c r="I49" s="6" t="s">
        <v>27</v>
      </c>
      <c r="J49" s="6" t="s">
        <v>16</v>
      </c>
      <c r="K49" s="6"/>
      <c r="L49" s="6"/>
    </row>
    <row r="50" spans="1:12">
      <c r="A50" s="6">
        <v>46</v>
      </c>
      <c r="B50" s="8" t="s">
        <v>69</v>
      </c>
      <c r="C50" s="8" t="s">
        <v>33</v>
      </c>
      <c r="D50" s="7" t="s">
        <v>40</v>
      </c>
      <c r="E50" s="6" t="s">
        <v>23</v>
      </c>
      <c r="F50" s="7"/>
      <c r="G50" s="6"/>
      <c r="H50" s="6" t="s">
        <v>41</v>
      </c>
      <c r="I50" s="6" t="s">
        <v>27</v>
      </c>
      <c r="J50" s="6" t="s">
        <v>16</v>
      </c>
      <c r="K50" s="6"/>
      <c r="L50" s="6"/>
    </row>
    <row r="51" spans="1:12">
      <c r="A51" s="6">
        <v>47</v>
      </c>
      <c r="B51" s="8" t="s">
        <v>69</v>
      </c>
      <c r="C51" s="8" t="s">
        <v>33</v>
      </c>
      <c r="D51" s="7" t="s">
        <v>42</v>
      </c>
      <c r="E51" s="6" t="s">
        <v>23</v>
      </c>
      <c r="F51" s="7"/>
      <c r="G51" s="6"/>
      <c r="H51" s="6" t="s">
        <v>29</v>
      </c>
      <c r="I51" s="6" t="s">
        <v>21</v>
      </c>
      <c r="J51" s="6" t="s">
        <v>16</v>
      </c>
      <c r="K51" s="6"/>
      <c r="L51" s="6"/>
    </row>
    <row r="52" spans="1:12">
      <c r="A52" s="6">
        <v>48</v>
      </c>
      <c r="B52" s="8" t="s">
        <v>69</v>
      </c>
      <c r="C52" s="8" t="s">
        <v>33</v>
      </c>
      <c r="D52" s="7" t="s">
        <v>78</v>
      </c>
      <c r="E52" s="6" t="s">
        <v>23</v>
      </c>
      <c r="F52" s="7"/>
      <c r="G52" s="6"/>
      <c r="H52" s="6" t="s">
        <v>44</v>
      </c>
      <c r="I52" s="6" t="s">
        <v>21</v>
      </c>
      <c r="J52" s="6" t="s">
        <v>16</v>
      </c>
      <c r="K52" s="6"/>
      <c r="L52" s="6"/>
    </row>
    <row r="53" spans="1:12">
      <c r="A53" s="6">
        <v>49</v>
      </c>
      <c r="B53" s="8" t="s">
        <v>69</v>
      </c>
      <c r="C53" s="8" t="s">
        <v>33</v>
      </c>
      <c r="D53" s="7" t="s">
        <v>46</v>
      </c>
      <c r="E53" s="6" t="s">
        <v>23</v>
      </c>
      <c r="F53" s="7"/>
      <c r="G53" s="6"/>
      <c r="H53" s="6" t="s">
        <v>47</v>
      </c>
      <c r="I53" s="6" t="s">
        <v>21</v>
      </c>
      <c r="J53" s="6" t="s">
        <v>16</v>
      </c>
      <c r="K53" s="6"/>
      <c r="L53" s="6"/>
    </row>
    <row r="54" spans="1:12" ht="18" customHeight="1">
      <c r="A54" s="6">
        <v>50</v>
      </c>
      <c r="B54" s="8" t="s">
        <v>69</v>
      </c>
      <c r="C54" s="8" t="s">
        <v>33</v>
      </c>
      <c r="D54" s="7" t="s">
        <v>79</v>
      </c>
      <c r="E54" s="6" t="s">
        <v>23</v>
      </c>
      <c r="F54" s="7"/>
      <c r="G54" s="6"/>
      <c r="H54" s="6" t="s">
        <v>49</v>
      </c>
      <c r="I54" s="6" t="s">
        <v>21</v>
      </c>
      <c r="J54" s="6" t="s">
        <v>16</v>
      </c>
      <c r="K54" s="6"/>
      <c r="L54" s="6"/>
    </row>
    <row r="55" spans="1:12" ht="75">
      <c r="A55" s="6">
        <v>51</v>
      </c>
      <c r="B55" s="8" t="s">
        <v>69</v>
      </c>
      <c r="C55" s="8"/>
      <c r="D55" s="7" t="s">
        <v>80</v>
      </c>
      <c r="E55" s="6" t="s">
        <v>53</v>
      </c>
      <c r="F55" s="7" t="s">
        <v>81</v>
      </c>
      <c r="G55" s="6"/>
      <c r="H55" s="6"/>
      <c r="I55" s="6" t="s">
        <v>21</v>
      </c>
      <c r="J55" s="6" t="s">
        <v>16</v>
      </c>
      <c r="K55" s="6"/>
      <c r="L55" s="6"/>
    </row>
    <row r="56" spans="1:12">
      <c r="A56" s="6">
        <v>52</v>
      </c>
      <c r="B56" s="8" t="s">
        <v>69</v>
      </c>
      <c r="C56" s="8"/>
      <c r="D56" s="7" t="s">
        <v>279</v>
      </c>
      <c r="E56" s="6" t="s">
        <v>23</v>
      </c>
      <c r="F56" s="7"/>
      <c r="G56" s="6"/>
      <c r="H56" s="6" t="s">
        <v>29</v>
      </c>
      <c r="I56" s="6" t="s">
        <v>21</v>
      </c>
      <c r="J56" s="6" t="s">
        <v>253</v>
      </c>
      <c r="K56" s="6">
        <v>51</v>
      </c>
      <c r="L56" s="6" t="s">
        <v>65</v>
      </c>
    </row>
    <row r="57" spans="1:12" ht="303.75">
      <c r="A57" s="6">
        <v>53</v>
      </c>
      <c r="B57" s="8" t="s">
        <v>69</v>
      </c>
      <c r="C57" s="8"/>
      <c r="D57" s="7" t="s">
        <v>280</v>
      </c>
      <c r="E57" s="6" t="s">
        <v>61</v>
      </c>
      <c r="F57" s="7" t="s">
        <v>281</v>
      </c>
      <c r="G57" s="6"/>
      <c r="H57" s="6"/>
      <c r="I57" s="6" t="s">
        <v>21</v>
      </c>
      <c r="J57" s="6" t="s">
        <v>16</v>
      </c>
      <c r="K57" s="6"/>
      <c r="L57" s="6"/>
    </row>
    <row r="58" spans="1:12">
      <c r="A58" s="6">
        <v>54</v>
      </c>
      <c r="B58" s="8" t="s">
        <v>69</v>
      </c>
      <c r="C58" s="8"/>
      <c r="D58" s="7" t="s">
        <v>282</v>
      </c>
      <c r="E58" s="6" t="s">
        <v>23</v>
      </c>
      <c r="F58" s="7"/>
      <c r="G58" s="6"/>
      <c r="H58" s="6" t="s">
        <v>29</v>
      </c>
      <c r="I58" s="6" t="s">
        <v>21</v>
      </c>
      <c r="J58" s="6" t="s">
        <v>253</v>
      </c>
      <c r="K58" s="6">
        <v>53</v>
      </c>
      <c r="L58" s="6" t="s">
        <v>65</v>
      </c>
    </row>
    <row r="59" spans="1:12" ht="75">
      <c r="A59" s="6">
        <v>55</v>
      </c>
      <c r="B59" s="8" t="s">
        <v>283</v>
      </c>
      <c r="C59" s="8"/>
      <c r="D59" s="7" t="s">
        <v>89</v>
      </c>
      <c r="E59" s="6"/>
      <c r="F59" s="7"/>
      <c r="G59" s="6"/>
      <c r="H59" s="6"/>
      <c r="I59" s="6"/>
      <c r="J59" s="6" t="s">
        <v>16</v>
      </c>
      <c r="K59" s="6"/>
      <c r="L59" s="6"/>
    </row>
    <row r="60" spans="1:12">
      <c r="A60" s="6">
        <v>56</v>
      </c>
      <c r="B60" s="8" t="s">
        <v>283</v>
      </c>
      <c r="C60" s="8"/>
      <c r="D60" s="7" t="s">
        <v>90</v>
      </c>
      <c r="E60" s="6" t="s">
        <v>91</v>
      </c>
      <c r="F60" s="7"/>
      <c r="G60" s="6"/>
      <c r="H60" s="6" t="s">
        <v>92</v>
      </c>
      <c r="I60" s="6" t="s">
        <v>21</v>
      </c>
      <c r="J60" s="6" t="s">
        <v>16</v>
      </c>
      <c r="K60" s="6"/>
      <c r="L60" s="6"/>
    </row>
    <row r="61" spans="1:12">
      <c r="A61" s="6">
        <v>57</v>
      </c>
      <c r="B61" s="8" t="s">
        <v>283</v>
      </c>
      <c r="C61" s="8"/>
      <c r="D61" s="7" t="s">
        <v>93</v>
      </c>
      <c r="E61" s="6" t="s">
        <v>91</v>
      </c>
      <c r="F61" s="7"/>
      <c r="G61" s="6"/>
      <c r="H61" s="6" t="s">
        <v>92</v>
      </c>
      <c r="I61" s="6" t="s">
        <v>21</v>
      </c>
      <c r="J61" s="6" t="s">
        <v>16</v>
      </c>
      <c r="K61" s="6"/>
      <c r="L61" s="6"/>
    </row>
    <row r="62" spans="1:12">
      <c r="A62" s="6">
        <v>58</v>
      </c>
      <c r="B62" s="8" t="s">
        <v>283</v>
      </c>
      <c r="C62" s="8"/>
      <c r="D62" s="7" t="s">
        <v>94</v>
      </c>
      <c r="E62" s="6" t="s">
        <v>91</v>
      </c>
      <c r="F62" s="7"/>
      <c r="G62" s="6"/>
      <c r="H62" s="6" t="s">
        <v>92</v>
      </c>
      <c r="I62" s="6" t="s">
        <v>21</v>
      </c>
      <c r="J62" s="6" t="s">
        <v>16</v>
      </c>
      <c r="K62" s="6"/>
      <c r="L62" s="6"/>
    </row>
    <row r="63" spans="1:12">
      <c r="A63" s="6">
        <v>59</v>
      </c>
      <c r="B63" s="8" t="s">
        <v>283</v>
      </c>
      <c r="C63" s="8"/>
      <c r="D63" s="7" t="s">
        <v>284</v>
      </c>
      <c r="E63" s="6" t="s">
        <v>91</v>
      </c>
      <c r="F63" s="7"/>
      <c r="G63" s="6"/>
      <c r="H63" s="6" t="s">
        <v>92</v>
      </c>
      <c r="I63" s="6" t="s">
        <v>21</v>
      </c>
      <c r="J63" s="6" t="s">
        <v>16</v>
      </c>
      <c r="K63" s="6"/>
      <c r="L63" s="6"/>
    </row>
    <row r="64" spans="1:12" ht="30">
      <c r="A64" s="6">
        <v>60</v>
      </c>
      <c r="B64" s="8" t="s">
        <v>283</v>
      </c>
      <c r="C64" s="8"/>
      <c r="D64" s="7" t="s">
        <v>285</v>
      </c>
      <c r="E64" s="6" t="s">
        <v>91</v>
      </c>
      <c r="F64" s="7"/>
      <c r="G64" s="6"/>
      <c r="H64" s="6" t="s">
        <v>92</v>
      </c>
      <c r="I64" s="6" t="s">
        <v>21</v>
      </c>
      <c r="J64" s="6" t="s">
        <v>16</v>
      </c>
      <c r="K64" s="6"/>
      <c r="L64" s="6"/>
    </row>
    <row r="65" spans="1:12" ht="75">
      <c r="A65" s="6">
        <v>61</v>
      </c>
      <c r="B65" s="8" t="s">
        <v>283</v>
      </c>
      <c r="C65" s="8"/>
      <c r="D65" s="7" t="s">
        <v>286</v>
      </c>
      <c r="E65" s="6"/>
      <c r="F65" s="7"/>
      <c r="G65" s="6"/>
      <c r="H65" s="6"/>
      <c r="I65" s="6"/>
      <c r="J65" s="6" t="s">
        <v>16</v>
      </c>
      <c r="K65" s="6"/>
      <c r="L65" s="6"/>
    </row>
    <row r="66" spans="1:12" ht="30">
      <c r="A66" s="6">
        <v>62</v>
      </c>
      <c r="B66" s="8" t="s">
        <v>283</v>
      </c>
      <c r="C66" s="8"/>
      <c r="D66" s="7" t="s">
        <v>287</v>
      </c>
      <c r="E66" s="6" t="s">
        <v>53</v>
      </c>
      <c r="F66" s="7" t="s">
        <v>54</v>
      </c>
      <c r="G66" s="6"/>
      <c r="H66" s="6"/>
      <c r="I66" s="6" t="s">
        <v>21</v>
      </c>
      <c r="J66" s="6" t="s">
        <v>16</v>
      </c>
      <c r="K66" s="6"/>
      <c r="L66" s="6"/>
    </row>
    <row r="67" spans="1:12" ht="30">
      <c r="A67" s="6">
        <v>63</v>
      </c>
      <c r="B67" s="8" t="s">
        <v>283</v>
      </c>
      <c r="C67" s="8"/>
      <c r="D67" s="7" t="s">
        <v>288</v>
      </c>
      <c r="E67" s="6" t="s">
        <v>23</v>
      </c>
      <c r="F67" s="7"/>
      <c r="G67" s="6" t="s">
        <v>289</v>
      </c>
      <c r="H67" s="6" t="s">
        <v>151</v>
      </c>
      <c r="I67" s="6" t="s">
        <v>21</v>
      </c>
      <c r="J67" s="6" t="s">
        <v>253</v>
      </c>
      <c r="K67" s="6">
        <v>62</v>
      </c>
      <c r="L67" s="6" t="s">
        <v>21</v>
      </c>
    </row>
    <row r="68" spans="1:12" ht="30">
      <c r="A68" s="6">
        <v>64</v>
      </c>
      <c r="B68" s="8" t="s">
        <v>283</v>
      </c>
      <c r="C68" s="8"/>
      <c r="D68" s="7" t="s">
        <v>290</v>
      </c>
      <c r="E68" s="6" t="s">
        <v>23</v>
      </c>
      <c r="F68" s="7"/>
      <c r="G68" s="6" t="s">
        <v>289</v>
      </c>
      <c r="H68" s="6" t="s">
        <v>151</v>
      </c>
      <c r="I68" s="6" t="s">
        <v>21</v>
      </c>
      <c r="J68" s="6" t="s">
        <v>253</v>
      </c>
      <c r="K68" s="6">
        <v>62</v>
      </c>
      <c r="L68" s="6" t="s">
        <v>21</v>
      </c>
    </row>
    <row r="69" spans="1:12" ht="30">
      <c r="A69" s="6">
        <v>65</v>
      </c>
      <c r="B69" s="8" t="s">
        <v>283</v>
      </c>
      <c r="C69" s="8"/>
      <c r="D69" s="7" t="s">
        <v>291</v>
      </c>
      <c r="E69" s="6" t="s">
        <v>23</v>
      </c>
      <c r="F69" s="7"/>
      <c r="G69" s="6" t="s">
        <v>289</v>
      </c>
      <c r="H69" s="6" t="s">
        <v>151</v>
      </c>
      <c r="I69" s="6" t="s">
        <v>21</v>
      </c>
      <c r="J69" s="6" t="s">
        <v>253</v>
      </c>
      <c r="K69" s="6">
        <v>62</v>
      </c>
      <c r="L69" s="6" t="s">
        <v>21</v>
      </c>
    </row>
    <row r="70" spans="1:12" ht="30">
      <c r="A70" s="6">
        <v>66</v>
      </c>
      <c r="B70" s="8" t="s">
        <v>283</v>
      </c>
      <c r="C70" s="8" t="s">
        <v>34</v>
      </c>
      <c r="D70" s="7" t="s">
        <v>292</v>
      </c>
      <c r="E70" s="6" t="s">
        <v>23</v>
      </c>
      <c r="F70" s="7"/>
      <c r="G70" s="6" t="s">
        <v>289</v>
      </c>
      <c r="H70" s="6" t="s">
        <v>151</v>
      </c>
      <c r="I70" s="6" t="s">
        <v>21</v>
      </c>
      <c r="J70" s="6" t="s">
        <v>253</v>
      </c>
      <c r="K70" s="6">
        <v>62</v>
      </c>
      <c r="L70" s="6" t="s">
        <v>21</v>
      </c>
    </row>
    <row r="71" spans="1:12" ht="30">
      <c r="A71" s="6">
        <v>67</v>
      </c>
      <c r="B71" s="8" t="s">
        <v>283</v>
      </c>
      <c r="C71" s="8" t="s">
        <v>36</v>
      </c>
      <c r="D71" s="7" t="s">
        <v>293</v>
      </c>
      <c r="E71" s="6" t="s">
        <v>23</v>
      </c>
      <c r="F71" s="7"/>
      <c r="G71" s="6" t="s">
        <v>289</v>
      </c>
      <c r="H71" s="6" t="s">
        <v>151</v>
      </c>
      <c r="I71" s="6" t="s">
        <v>21</v>
      </c>
      <c r="J71" s="6" t="s">
        <v>253</v>
      </c>
      <c r="K71" s="6">
        <v>62</v>
      </c>
      <c r="L71" s="6" t="s">
        <v>21</v>
      </c>
    </row>
    <row r="72" spans="1:12" ht="30">
      <c r="A72" s="6">
        <v>68</v>
      </c>
      <c r="B72" s="8" t="s">
        <v>283</v>
      </c>
      <c r="C72" s="8" t="s">
        <v>38</v>
      </c>
      <c r="D72" s="7" t="s">
        <v>294</v>
      </c>
      <c r="E72" s="6" t="s">
        <v>23</v>
      </c>
      <c r="F72" s="7"/>
      <c r="G72" s="6" t="s">
        <v>289</v>
      </c>
      <c r="H72" s="6" t="s">
        <v>151</v>
      </c>
      <c r="I72" s="6" t="s">
        <v>27</v>
      </c>
      <c r="J72" s="6" t="s">
        <v>253</v>
      </c>
      <c r="K72" s="6">
        <v>62</v>
      </c>
      <c r="L72" s="6" t="s">
        <v>21</v>
      </c>
    </row>
    <row r="73" spans="1:12" ht="30">
      <c r="A73" s="6">
        <v>69</v>
      </c>
      <c r="B73" s="8" t="s">
        <v>283</v>
      </c>
      <c r="C73" s="8" t="s">
        <v>40</v>
      </c>
      <c r="D73" s="7" t="s">
        <v>295</v>
      </c>
      <c r="E73" s="6" t="s">
        <v>23</v>
      </c>
      <c r="F73" s="7"/>
      <c r="G73" s="6" t="s">
        <v>289</v>
      </c>
      <c r="H73" s="6" t="s">
        <v>151</v>
      </c>
      <c r="I73" s="6" t="s">
        <v>27</v>
      </c>
      <c r="J73" s="6" t="s">
        <v>253</v>
      </c>
      <c r="K73" s="6">
        <v>62</v>
      </c>
      <c r="L73" s="6" t="s">
        <v>21</v>
      </c>
    </row>
    <row r="74" spans="1:12" ht="30">
      <c r="A74" s="6">
        <v>70</v>
      </c>
      <c r="B74" s="8" t="s">
        <v>283</v>
      </c>
      <c r="C74" s="8" t="s">
        <v>42</v>
      </c>
      <c r="D74" s="7" t="s">
        <v>296</v>
      </c>
      <c r="E74" s="6" t="s">
        <v>23</v>
      </c>
      <c r="F74" s="7"/>
      <c r="G74" s="6" t="s">
        <v>289</v>
      </c>
      <c r="H74" s="6" t="s">
        <v>151</v>
      </c>
      <c r="I74" s="6" t="s">
        <v>21</v>
      </c>
      <c r="J74" s="6" t="s">
        <v>253</v>
      </c>
      <c r="K74" s="6">
        <v>62</v>
      </c>
      <c r="L74" s="6" t="s">
        <v>21</v>
      </c>
    </row>
    <row r="75" spans="1:12" ht="30">
      <c r="A75" s="6">
        <v>71</v>
      </c>
      <c r="B75" s="8" t="s">
        <v>283</v>
      </c>
      <c r="C75" s="8" t="s">
        <v>78</v>
      </c>
      <c r="D75" s="7" t="s">
        <v>297</v>
      </c>
      <c r="E75" s="6" t="s">
        <v>23</v>
      </c>
      <c r="F75" s="7"/>
      <c r="G75" s="6" t="s">
        <v>289</v>
      </c>
      <c r="H75" s="6" t="s">
        <v>151</v>
      </c>
      <c r="I75" s="6" t="s">
        <v>21</v>
      </c>
      <c r="J75" s="6" t="s">
        <v>253</v>
      </c>
      <c r="K75" s="6">
        <v>62</v>
      </c>
      <c r="L75" s="6" t="s">
        <v>21</v>
      </c>
    </row>
    <row r="76" spans="1:12" ht="30">
      <c r="A76" s="6">
        <v>72</v>
      </c>
      <c r="B76" s="8" t="s">
        <v>283</v>
      </c>
      <c r="C76" s="8" t="s">
        <v>46</v>
      </c>
      <c r="D76" s="7" t="s">
        <v>298</v>
      </c>
      <c r="E76" s="6" t="s">
        <v>23</v>
      </c>
      <c r="F76" s="7"/>
      <c r="G76" s="6" t="s">
        <v>289</v>
      </c>
      <c r="H76" s="6" t="s">
        <v>151</v>
      </c>
      <c r="I76" s="6" t="s">
        <v>21</v>
      </c>
      <c r="J76" s="6" t="s">
        <v>253</v>
      </c>
      <c r="K76" s="6">
        <v>62</v>
      </c>
      <c r="L76" s="6" t="s">
        <v>21</v>
      </c>
    </row>
    <row r="77" spans="1:12" ht="30">
      <c r="A77" s="6">
        <v>73</v>
      </c>
      <c r="B77" s="8" t="s">
        <v>283</v>
      </c>
      <c r="C77" s="8" t="s">
        <v>79</v>
      </c>
      <c r="D77" s="7" t="s">
        <v>299</v>
      </c>
      <c r="E77" s="6" t="s">
        <v>23</v>
      </c>
      <c r="F77" s="7"/>
      <c r="G77" s="6" t="s">
        <v>289</v>
      </c>
      <c r="H77" s="6" t="s">
        <v>151</v>
      </c>
      <c r="I77" s="6" t="s">
        <v>21</v>
      </c>
      <c r="J77" s="6" t="s">
        <v>253</v>
      </c>
      <c r="K77" s="6">
        <v>62</v>
      </c>
      <c r="L77" s="6" t="s">
        <v>21</v>
      </c>
    </row>
    <row r="78" spans="1:12" ht="30">
      <c r="A78" s="6">
        <v>74</v>
      </c>
      <c r="B78" s="8" t="s">
        <v>283</v>
      </c>
      <c r="C78" s="8" t="s">
        <v>80</v>
      </c>
      <c r="D78" s="7" t="s">
        <v>300</v>
      </c>
      <c r="E78" s="6" t="s">
        <v>23</v>
      </c>
      <c r="F78" s="7"/>
      <c r="G78" s="6" t="s">
        <v>289</v>
      </c>
      <c r="H78" s="6" t="s">
        <v>151</v>
      </c>
      <c r="I78" s="6" t="s">
        <v>21</v>
      </c>
      <c r="J78" s="6" t="s">
        <v>253</v>
      </c>
      <c r="K78" s="6">
        <v>62</v>
      </c>
      <c r="L78" s="6" t="s">
        <v>21</v>
      </c>
    </row>
    <row r="79" spans="1:12" ht="30">
      <c r="A79" s="6">
        <v>75</v>
      </c>
      <c r="B79" s="8" t="s">
        <v>212</v>
      </c>
      <c r="C79" s="8"/>
      <c r="D79" s="7" t="s">
        <v>301</v>
      </c>
      <c r="E79" s="6"/>
      <c r="F79" s="7"/>
      <c r="G79" s="6"/>
      <c r="H79" s="6"/>
      <c r="I79" s="6"/>
      <c r="J79" s="6"/>
      <c r="K79" s="6"/>
      <c r="L79" s="6"/>
    </row>
    <row r="80" spans="1:12" ht="30">
      <c r="A80" s="6">
        <v>76</v>
      </c>
      <c r="B80" s="8" t="s">
        <v>212</v>
      </c>
      <c r="C80" s="8"/>
      <c r="D80" s="7" t="s">
        <v>211</v>
      </c>
      <c r="E80" s="6" t="s">
        <v>53</v>
      </c>
      <c r="F80" s="7" t="s">
        <v>54</v>
      </c>
      <c r="G80" s="6"/>
      <c r="H80" s="6"/>
      <c r="I80" s="6" t="s">
        <v>21</v>
      </c>
      <c r="J80" s="6" t="s">
        <v>16</v>
      </c>
      <c r="K80" s="6"/>
      <c r="L80" s="6"/>
    </row>
    <row r="81" spans="1:12">
      <c r="A81" s="6">
        <v>77</v>
      </c>
      <c r="B81" s="8" t="s">
        <v>212</v>
      </c>
      <c r="C81" s="8"/>
      <c r="D81" s="7" t="s">
        <v>302</v>
      </c>
      <c r="E81" s="6" t="s">
        <v>23</v>
      </c>
      <c r="F81" s="7"/>
      <c r="G81" s="6" t="s">
        <v>303</v>
      </c>
      <c r="H81" s="6" t="s">
        <v>151</v>
      </c>
      <c r="I81" s="6" t="s">
        <v>21</v>
      </c>
      <c r="J81" s="6" t="s">
        <v>253</v>
      </c>
      <c r="K81" s="6">
        <v>76</v>
      </c>
      <c r="L81" s="6" t="s">
        <v>21</v>
      </c>
    </row>
    <row r="82" spans="1:12">
      <c r="A82" s="6">
        <v>78</v>
      </c>
      <c r="B82" s="8" t="s">
        <v>212</v>
      </c>
      <c r="C82" s="8"/>
      <c r="D82" s="7" t="s">
        <v>304</v>
      </c>
      <c r="E82" s="6" t="s">
        <v>23</v>
      </c>
      <c r="F82" s="7"/>
      <c r="G82" s="6" t="s">
        <v>303</v>
      </c>
      <c r="H82" s="6" t="s">
        <v>151</v>
      </c>
      <c r="I82" s="6" t="s">
        <v>21</v>
      </c>
      <c r="J82" s="6" t="s">
        <v>253</v>
      </c>
      <c r="K82" s="6">
        <v>76</v>
      </c>
      <c r="L82" s="6" t="s">
        <v>21</v>
      </c>
    </row>
    <row r="83" spans="1:12" ht="30">
      <c r="A83" s="6">
        <v>79</v>
      </c>
      <c r="B83" s="8" t="s">
        <v>212</v>
      </c>
      <c r="C83" s="8"/>
      <c r="D83" s="7" t="s">
        <v>305</v>
      </c>
      <c r="E83" s="6" t="s">
        <v>23</v>
      </c>
      <c r="F83" s="7"/>
      <c r="G83" s="6" t="s">
        <v>303</v>
      </c>
      <c r="H83" s="6" t="s">
        <v>151</v>
      </c>
      <c r="I83" s="6" t="s">
        <v>21</v>
      </c>
      <c r="J83" s="6" t="s">
        <v>253</v>
      </c>
      <c r="K83" s="6">
        <v>76</v>
      </c>
      <c r="L83" s="6" t="s">
        <v>21</v>
      </c>
    </row>
    <row r="84" spans="1:12" ht="30">
      <c r="A84" s="6">
        <v>80</v>
      </c>
      <c r="B84" s="8" t="s">
        <v>306</v>
      </c>
      <c r="C84" s="8" t="s">
        <v>148</v>
      </c>
      <c r="D84" s="7" t="s">
        <v>149</v>
      </c>
      <c r="E84" s="6"/>
      <c r="F84" s="7"/>
      <c r="G84" s="6"/>
      <c r="H84" s="6"/>
      <c r="I84" s="6"/>
      <c r="J84" s="6" t="s">
        <v>16</v>
      </c>
      <c r="K84" s="6"/>
      <c r="L84" s="6"/>
    </row>
    <row r="85" spans="1:12" ht="30">
      <c r="A85" s="6">
        <v>81</v>
      </c>
      <c r="B85" s="8" t="s">
        <v>306</v>
      </c>
      <c r="C85" s="8" t="s">
        <v>148</v>
      </c>
      <c r="D85" s="7" t="s">
        <v>307</v>
      </c>
      <c r="E85" s="6" t="s">
        <v>23</v>
      </c>
      <c r="F85" s="7"/>
      <c r="G85" s="6" t="s">
        <v>308</v>
      </c>
      <c r="H85" s="6" t="s">
        <v>151</v>
      </c>
      <c r="I85" s="6" t="s">
        <v>27</v>
      </c>
      <c r="J85" s="6" t="s">
        <v>16</v>
      </c>
      <c r="K85" s="6"/>
      <c r="L85" s="6"/>
    </row>
    <row r="86" spans="1:12">
      <c r="A86" s="6">
        <v>82</v>
      </c>
      <c r="B86" s="8" t="s">
        <v>306</v>
      </c>
      <c r="C86" s="8" t="s">
        <v>148</v>
      </c>
      <c r="D86" s="7" t="s">
        <v>152</v>
      </c>
      <c r="E86" s="6" t="s">
        <v>23</v>
      </c>
      <c r="F86" s="7"/>
      <c r="G86" s="6" t="s">
        <v>308</v>
      </c>
      <c r="H86" s="6" t="s">
        <v>151</v>
      </c>
      <c r="I86" s="6" t="s">
        <v>27</v>
      </c>
      <c r="J86" s="6" t="s">
        <v>16</v>
      </c>
      <c r="K86" s="6"/>
      <c r="L86" s="6"/>
    </row>
    <row r="87" spans="1:12">
      <c r="A87" s="6">
        <v>83</v>
      </c>
      <c r="B87" s="8" t="s">
        <v>306</v>
      </c>
      <c r="C87" s="8" t="s">
        <v>148</v>
      </c>
      <c r="D87" s="7" t="s">
        <v>153</v>
      </c>
      <c r="E87" s="6" t="s">
        <v>23</v>
      </c>
      <c r="F87" s="7"/>
      <c r="G87" s="6" t="s">
        <v>308</v>
      </c>
      <c r="H87" s="6" t="s">
        <v>151</v>
      </c>
      <c r="I87" s="6" t="s">
        <v>27</v>
      </c>
      <c r="J87" s="6" t="s">
        <v>16</v>
      </c>
      <c r="K87" s="6"/>
      <c r="L87" s="6"/>
    </row>
    <row r="88" spans="1:12" ht="30">
      <c r="A88" s="6">
        <v>84</v>
      </c>
      <c r="B88" s="8" t="s">
        <v>306</v>
      </c>
      <c r="C88" s="8" t="s">
        <v>148</v>
      </c>
      <c r="D88" s="7" t="s">
        <v>309</v>
      </c>
      <c r="E88" s="6" t="s">
        <v>23</v>
      </c>
      <c r="F88" s="7"/>
      <c r="G88" s="6" t="s">
        <v>308</v>
      </c>
      <c r="H88" s="6" t="s">
        <v>151</v>
      </c>
      <c r="I88" s="6" t="s">
        <v>27</v>
      </c>
      <c r="J88" s="6" t="s">
        <v>16</v>
      </c>
      <c r="K88" s="6"/>
      <c r="L88" s="6"/>
    </row>
    <row r="89" spans="1:12">
      <c r="A89" s="6">
        <v>85</v>
      </c>
      <c r="B89" s="8" t="s">
        <v>306</v>
      </c>
      <c r="C89" s="8" t="s">
        <v>148</v>
      </c>
      <c r="D89" s="7" t="s">
        <v>155</v>
      </c>
      <c r="E89" s="6" t="s">
        <v>23</v>
      </c>
      <c r="F89" s="7"/>
      <c r="G89" s="6" t="s">
        <v>308</v>
      </c>
      <c r="H89" s="6" t="s">
        <v>151</v>
      </c>
      <c r="I89" s="6" t="s">
        <v>27</v>
      </c>
      <c r="J89" s="6" t="s">
        <v>16</v>
      </c>
      <c r="K89" s="6"/>
      <c r="L89" s="6"/>
    </row>
    <row r="90" spans="1:12">
      <c r="A90" s="6">
        <v>86</v>
      </c>
      <c r="B90" s="8" t="s">
        <v>306</v>
      </c>
      <c r="C90" s="8" t="s">
        <v>148</v>
      </c>
      <c r="D90" s="7" t="s">
        <v>156</v>
      </c>
      <c r="E90" s="6" t="s">
        <v>23</v>
      </c>
      <c r="F90" s="7"/>
      <c r="G90" s="6" t="s">
        <v>308</v>
      </c>
      <c r="H90" s="6" t="s">
        <v>151</v>
      </c>
      <c r="I90" s="6" t="s">
        <v>27</v>
      </c>
      <c r="J90" s="6" t="s">
        <v>16</v>
      </c>
      <c r="K90" s="6"/>
      <c r="L90" s="6"/>
    </row>
    <row r="91" spans="1:12" ht="29.25">
      <c r="A91" s="6">
        <v>87</v>
      </c>
      <c r="B91" s="8" t="s">
        <v>306</v>
      </c>
      <c r="C91" s="6" t="s">
        <v>310</v>
      </c>
      <c r="D91" s="7" t="s">
        <v>231</v>
      </c>
      <c r="E91" s="6" t="s">
        <v>53</v>
      </c>
      <c r="F91" s="7" t="s">
        <v>54</v>
      </c>
      <c r="G91" s="6"/>
      <c r="H91" s="6"/>
      <c r="I91" s="6" t="s">
        <v>21</v>
      </c>
      <c r="J91" s="6" t="s">
        <v>16</v>
      </c>
      <c r="K91" s="6"/>
      <c r="L91" s="6"/>
    </row>
    <row r="92" spans="1:12">
      <c r="A92" s="6">
        <v>88</v>
      </c>
      <c r="B92" s="8" t="s">
        <v>306</v>
      </c>
      <c r="C92" s="6" t="s">
        <v>310</v>
      </c>
      <c r="D92" s="7" t="s">
        <v>232</v>
      </c>
      <c r="E92" s="6" t="s">
        <v>91</v>
      </c>
      <c r="F92" s="7"/>
      <c r="G92" s="6"/>
      <c r="H92" s="6" t="s">
        <v>233</v>
      </c>
      <c r="I92" s="6" t="s">
        <v>21</v>
      </c>
      <c r="J92" s="6" t="s">
        <v>56</v>
      </c>
      <c r="K92" s="6">
        <v>87</v>
      </c>
      <c r="L92" s="6" t="s">
        <v>21</v>
      </c>
    </row>
    <row r="93" spans="1:12">
      <c r="A93" s="6">
        <v>89</v>
      </c>
      <c r="B93" s="8" t="s">
        <v>306</v>
      </c>
      <c r="C93" s="6" t="s">
        <v>310</v>
      </c>
      <c r="D93" s="7" t="s">
        <v>311</v>
      </c>
      <c r="E93" s="6" t="s">
        <v>91</v>
      </c>
      <c r="F93" s="7"/>
      <c r="G93" s="6" t="s">
        <v>308</v>
      </c>
      <c r="H93" s="6" t="s">
        <v>92</v>
      </c>
      <c r="I93" s="6" t="s">
        <v>21</v>
      </c>
      <c r="J93" s="6" t="s">
        <v>16</v>
      </c>
      <c r="K93" s="6"/>
      <c r="L93" s="6"/>
    </row>
    <row r="94" spans="1:12" ht="29.25">
      <c r="A94" s="6">
        <v>90</v>
      </c>
      <c r="B94" s="8" t="s">
        <v>306</v>
      </c>
      <c r="C94" s="6" t="s">
        <v>310</v>
      </c>
      <c r="D94" s="7" t="s">
        <v>312</v>
      </c>
      <c r="E94" s="6" t="s">
        <v>53</v>
      </c>
      <c r="F94" s="7" t="s">
        <v>54</v>
      </c>
      <c r="G94" s="6" t="s">
        <v>308</v>
      </c>
      <c r="H94" s="6"/>
      <c r="I94" s="6" t="s">
        <v>21</v>
      </c>
      <c r="J94" s="6" t="s">
        <v>16</v>
      </c>
      <c r="K94" s="6"/>
      <c r="L94" s="6"/>
    </row>
    <row r="95" spans="1:12">
      <c r="A95" s="6">
        <v>91</v>
      </c>
      <c r="B95" s="8" t="s">
        <v>306</v>
      </c>
      <c r="C95" s="6" t="s">
        <v>310</v>
      </c>
      <c r="D95" s="7" t="s">
        <v>313</v>
      </c>
      <c r="E95" s="6" t="s">
        <v>23</v>
      </c>
      <c r="F95" s="7"/>
      <c r="G95" s="6" t="s">
        <v>308</v>
      </c>
      <c r="H95" s="6" t="s">
        <v>151</v>
      </c>
      <c r="I95" s="6" t="s">
        <v>21</v>
      </c>
      <c r="J95" s="6" t="s">
        <v>253</v>
      </c>
      <c r="K95" s="6">
        <v>90</v>
      </c>
      <c r="L95" s="6" t="s">
        <v>21</v>
      </c>
    </row>
    <row r="96" spans="1:12">
      <c r="A96" s="6">
        <v>92</v>
      </c>
      <c r="B96" s="8" t="s">
        <v>306</v>
      </c>
      <c r="C96" s="6" t="s">
        <v>310</v>
      </c>
      <c r="D96" s="7" t="s">
        <v>314</v>
      </c>
      <c r="E96" s="6" t="s">
        <v>23</v>
      </c>
      <c r="F96" s="7"/>
      <c r="G96" s="6" t="s">
        <v>308</v>
      </c>
      <c r="H96" s="6" t="s">
        <v>151</v>
      </c>
      <c r="I96" s="6" t="s">
        <v>21</v>
      </c>
      <c r="J96" s="6" t="s">
        <v>253</v>
      </c>
      <c r="K96" s="6">
        <v>90</v>
      </c>
      <c r="L96" s="6" t="s">
        <v>21</v>
      </c>
    </row>
    <row r="97" spans="1:12" ht="29.25">
      <c r="A97" s="6">
        <v>93</v>
      </c>
      <c r="B97" s="8" t="s">
        <v>306</v>
      </c>
      <c r="C97" s="6" t="s">
        <v>310</v>
      </c>
      <c r="D97" s="7" t="s">
        <v>315</v>
      </c>
      <c r="E97" s="6" t="s">
        <v>53</v>
      </c>
      <c r="F97" s="7" t="s">
        <v>54</v>
      </c>
      <c r="G97" s="6"/>
      <c r="H97" s="6"/>
      <c r="I97" s="6" t="s">
        <v>21</v>
      </c>
      <c r="J97" s="6" t="s">
        <v>16</v>
      </c>
      <c r="K97" s="6"/>
      <c r="L97" s="6"/>
    </row>
    <row r="98" spans="1:12">
      <c r="A98" s="6">
        <v>94</v>
      </c>
      <c r="B98" s="8" t="s">
        <v>306</v>
      </c>
      <c r="C98" s="6" t="s">
        <v>310</v>
      </c>
      <c r="D98" s="7" t="s">
        <v>316</v>
      </c>
      <c r="E98" s="6" t="s">
        <v>91</v>
      </c>
      <c r="F98" s="7"/>
      <c r="G98" s="6" t="s">
        <v>317</v>
      </c>
      <c r="H98" s="6" t="s">
        <v>92</v>
      </c>
      <c r="I98" s="6" t="s">
        <v>21</v>
      </c>
      <c r="J98" s="6" t="s">
        <v>253</v>
      </c>
      <c r="K98" s="6">
        <v>93</v>
      </c>
      <c r="L98" s="6" t="s">
        <v>21</v>
      </c>
    </row>
    <row r="99" spans="1:12" ht="29.25">
      <c r="A99" s="6">
        <v>95</v>
      </c>
      <c r="B99" s="8" t="s">
        <v>306</v>
      </c>
      <c r="C99" s="6" t="s">
        <v>310</v>
      </c>
      <c r="D99" s="7" t="s">
        <v>318</v>
      </c>
      <c r="E99" s="6" t="s">
        <v>53</v>
      </c>
      <c r="F99" s="7" t="s">
        <v>54</v>
      </c>
      <c r="G99" s="6"/>
      <c r="H99" s="6"/>
      <c r="I99" s="6" t="s">
        <v>21</v>
      </c>
      <c r="J99" s="6" t="s">
        <v>16</v>
      </c>
      <c r="K99" s="6"/>
      <c r="L99" s="6"/>
    </row>
    <row r="100" spans="1:12" ht="29.25">
      <c r="A100" s="6">
        <v>96</v>
      </c>
      <c r="B100" s="8" t="s">
        <v>306</v>
      </c>
      <c r="C100" s="6" t="s">
        <v>310</v>
      </c>
      <c r="D100" s="7" t="s">
        <v>319</v>
      </c>
      <c r="E100" s="6" t="s">
        <v>23</v>
      </c>
      <c r="F100" s="7"/>
      <c r="G100" s="6" t="s">
        <v>320</v>
      </c>
      <c r="H100" s="6" t="s">
        <v>151</v>
      </c>
      <c r="I100" s="6" t="s">
        <v>21</v>
      </c>
      <c r="J100" s="6" t="s">
        <v>253</v>
      </c>
      <c r="K100" s="6">
        <v>95</v>
      </c>
      <c r="L100" s="6" t="s">
        <v>21</v>
      </c>
    </row>
    <row r="101" spans="1:12" ht="29.25">
      <c r="A101" s="6">
        <v>97</v>
      </c>
      <c r="B101" s="8" t="s">
        <v>306</v>
      </c>
      <c r="C101" s="6" t="s">
        <v>310</v>
      </c>
      <c r="D101" s="7" t="s">
        <v>321</v>
      </c>
      <c r="E101" s="6" t="s">
        <v>23</v>
      </c>
      <c r="F101" s="7"/>
      <c r="G101" s="6" t="s">
        <v>322</v>
      </c>
      <c r="H101" s="6" t="s">
        <v>151</v>
      </c>
      <c r="I101" s="6" t="s">
        <v>21</v>
      </c>
      <c r="J101" s="6" t="s">
        <v>253</v>
      </c>
      <c r="K101" s="6">
        <v>95</v>
      </c>
      <c r="L101" s="6" t="s">
        <v>21</v>
      </c>
    </row>
    <row r="102" spans="1:12" ht="29.25">
      <c r="A102" s="6">
        <v>98</v>
      </c>
      <c r="B102" s="8" t="s">
        <v>306</v>
      </c>
      <c r="C102" s="6" t="s">
        <v>310</v>
      </c>
      <c r="D102" s="7" t="s">
        <v>323</v>
      </c>
      <c r="E102" s="6" t="s">
        <v>23</v>
      </c>
      <c r="F102" s="7"/>
      <c r="G102" s="6" t="s">
        <v>322</v>
      </c>
      <c r="H102" s="6" t="s">
        <v>151</v>
      </c>
      <c r="I102" s="6" t="s">
        <v>21</v>
      </c>
      <c r="J102" s="6" t="s">
        <v>253</v>
      </c>
      <c r="K102" s="6">
        <v>95</v>
      </c>
      <c r="L102" s="6" t="s">
        <v>21</v>
      </c>
    </row>
    <row r="103" spans="1:12" ht="29.25">
      <c r="A103" s="6">
        <v>99</v>
      </c>
      <c r="B103" s="8" t="s">
        <v>306</v>
      </c>
      <c r="C103" s="6" t="s">
        <v>310</v>
      </c>
      <c r="D103" s="7" t="s">
        <v>324</v>
      </c>
      <c r="E103" s="6" t="s">
        <v>53</v>
      </c>
      <c r="F103" s="7" t="s">
        <v>54</v>
      </c>
      <c r="G103" s="6"/>
      <c r="H103" s="6"/>
      <c r="I103" s="6" t="s">
        <v>21</v>
      </c>
      <c r="J103" s="6" t="s">
        <v>16</v>
      </c>
      <c r="K103" s="6"/>
      <c r="L103" s="6"/>
    </row>
    <row r="104" spans="1:12" ht="29.25">
      <c r="A104" s="6">
        <v>100</v>
      </c>
      <c r="B104" s="8" t="s">
        <v>306</v>
      </c>
      <c r="C104" s="6" t="s">
        <v>310</v>
      </c>
      <c r="D104" s="7" t="s">
        <v>325</v>
      </c>
      <c r="E104" s="6" t="s">
        <v>91</v>
      </c>
      <c r="F104" s="7"/>
      <c r="G104" s="6" t="s">
        <v>326</v>
      </c>
      <c r="H104" s="6" t="s">
        <v>151</v>
      </c>
      <c r="I104" s="6" t="s">
        <v>21</v>
      </c>
      <c r="J104" s="6" t="s">
        <v>253</v>
      </c>
      <c r="K104" s="6">
        <v>99</v>
      </c>
      <c r="L104" s="6" t="s">
        <v>21</v>
      </c>
    </row>
    <row r="105" spans="1:12" ht="29.25">
      <c r="A105" s="6">
        <v>101</v>
      </c>
      <c r="B105" s="8" t="s">
        <v>306</v>
      </c>
      <c r="C105" s="6" t="s">
        <v>310</v>
      </c>
      <c r="D105" s="7" t="s">
        <v>327</v>
      </c>
      <c r="E105" s="6" t="s">
        <v>53</v>
      </c>
      <c r="F105" s="7" t="s">
        <v>54</v>
      </c>
      <c r="G105" s="6"/>
      <c r="H105" s="6"/>
      <c r="I105" s="6" t="s">
        <v>21</v>
      </c>
      <c r="J105" s="6" t="s">
        <v>16</v>
      </c>
      <c r="K105" s="6"/>
      <c r="L105" s="6"/>
    </row>
    <row r="106" spans="1:12" ht="29.25">
      <c r="A106" s="6">
        <v>102</v>
      </c>
      <c r="B106" s="8" t="s">
        <v>306</v>
      </c>
      <c r="C106" s="6" t="s">
        <v>310</v>
      </c>
      <c r="D106" s="7" t="s">
        <v>328</v>
      </c>
      <c r="E106" s="6" t="s">
        <v>91</v>
      </c>
      <c r="F106" s="7"/>
      <c r="G106" s="6" t="s">
        <v>329</v>
      </c>
      <c r="H106" s="6" t="s">
        <v>151</v>
      </c>
      <c r="I106" s="6" t="s">
        <v>21</v>
      </c>
      <c r="J106" s="6" t="s">
        <v>253</v>
      </c>
      <c r="K106" s="6">
        <v>101</v>
      </c>
      <c r="L106" s="6" t="s">
        <v>21</v>
      </c>
    </row>
    <row r="107" spans="1:12" ht="29.25">
      <c r="A107" s="6">
        <v>103</v>
      </c>
      <c r="B107" s="8" t="s">
        <v>306</v>
      </c>
      <c r="C107" s="6" t="s">
        <v>310</v>
      </c>
      <c r="D107" s="7" t="s">
        <v>330</v>
      </c>
      <c r="E107" s="6" t="s">
        <v>53</v>
      </c>
      <c r="F107" s="7" t="s">
        <v>54</v>
      </c>
      <c r="G107" s="6"/>
      <c r="H107" s="6"/>
      <c r="I107" s="6" t="s">
        <v>21</v>
      </c>
      <c r="J107" s="6" t="s">
        <v>16</v>
      </c>
      <c r="K107" s="6"/>
      <c r="L107" s="6"/>
    </row>
    <row r="108" spans="1:12" ht="29.25">
      <c r="A108" s="6">
        <v>104</v>
      </c>
      <c r="B108" s="8" t="s">
        <v>306</v>
      </c>
      <c r="C108" s="6" t="s">
        <v>310</v>
      </c>
      <c r="D108" s="7" t="s">
        <v>331</v>
      </c>
      <c r="E108" s="6" t="s">
        <v>91</v>
      </c>
      <c r="F108" s="7"/>
      <c r="G108" s="6" t="s">
        <v>329</v>
      </c>
      <c r="H108" s="6" t="s">
        <v>151</v>
      </c>
      <c r="I108" s="6" t="s">
        <v>21</v>
      </c>
      <c r="J108" s="6" t="s">
        <v>253</v>
      </c>
      <c r="K108" s="6">
        <v>103</v>
      </c>
      <c r="L108" s="6" t="s">
        <v>21</v>
      </c>
    </row>
    <row r="109" spans="1:12" ht="29.25">
      <c r="A109" s="6">
        <v>105</v>
      </c>
      <c r="B109" s="8" t="s">
        <v>306</v>
      </c>
      <c r="C109" s="6" t="s">
        <v>310</v>
      </c>
      <c r="D109" s="7" t="s">
        <v>236</v>
      </c>
      <c r="E109" s="6" t="s">
        <v>53</v>
      </c>
      <c r="F109" s="7" t="s">
        <v>54</v>
      </c>
      <c r="G109" s="6"/>
      <c r="H109" s="6"/>
      <c r="I109" s="6" t="s">
        <v>21</v>
      </c>
      <c r="J109" s="6" t="s">
        <v>16</v>
      </c>
      <c r="K109" s="6"/>
      <c r="L109" s="6"/>
    </row>
    <row r="110" spans="1:12">
      <c r="A110" s="6">
        <v>106</v>
      </c>
      <c r="B110" s="8" t="s">
        <v>306</v>
      </c>
      <c r="C110" s="6" t="s">
        <v>310</v>
      </c>
      <c r="D110" s="7" t="s">
        <v>237</v>
      </c>
      <c r="E110" s="6" t="s">
        <v>91</v>
      </c>
      <c r="F110" s="7"/>
      <c r="G110" s="6"/>
      <c r="H110" s="6" t="s">
        <v>151</v>
      </c>
      <c r="I110" s="6" t="s">
        <v>21</v>
      </c>
      <c r="J110" s="6" t="s">
        <v>253</v>
      </c>
      <c r="K110" s="6">
        <v>105</v>
      </c>
      <c r="L110" s="6" t="s">
        <v>21</v>
      </c>
    </row>
    <row r="111" spans="1:12" ht="29.25">
      <c r="A111" s="6">
        <v>107</v>
      </c>
      <c r="B111" s="8" t="s">
        <v>306</v>
      </c>
      <c r="C111" s="6" t="s">
        <v>310</v>
      </c>
      <c r="D111" s="7" t="s">
        <v>332</v>
      </c>
      <c r="E111" s="6" t="s">
        <v>53</v>
      </c>
      <c r="F111" s="7" t="s">
        <v>54</v>
      </c>
      <c r="G111" s="6"/>
      <c r="H111" s="6"/>
      <c r="I111" s="6" t="s">
        <v>21</v>
      </c>
      <c r="J111" s="6" t="s">
        <v>16</v>
      </c>
      <c r="K111" s="6"/>
      <c r="L111" s="6"/>
    </row>
    <row r="112" spans="1:12">
      <c r="A112" s="6">
        <v>108</v>
      </c>
      <c r="B112" s="8" t="s">
        <v>306</v>
      </c>
      <c r="C112" s="6" t="s">
        <v>310</v>
      </c>
      <c r="D112" s="7" t="s">
        <v>333</v>
      </c>
      <c r="E112" s="6" t="s">
        <v>91</v>
      </c>
      <c r="F112" s="7"/>
      <c r="G112" s="6" t="s">
        <v>334</v>
      </c>
      <c r="H112" s="6" t="s">
        <v>151</v>
      </c>
      <c r="I112" s="6" t="s">
        <v>21</v>
      </c>
      <c r="J112" s="6" t="s">
        <v>253</v>
      </c>
      <c r="K112" s="6">
        <v>107</v>
      </c>
      <c r="L112" s="6" t="s">
        <v>21</v>
      </c>
    </row>
    <row r="113" spans="1:12">
      <c r="A113" s="6">
        <v>109</v>
      </c>
      <c r="B113" s="8" t="s">
        <v>306</v>
      </c>
      <c r="C113" s="8" t="s">
        <v>335</v>
      </c>
      <c r="D113" s="7" t="s">
        <v>336</v>
      </c>
      <c r="E113" s="6" t="s">
        <v>91</v>
      </c>
      <c r="F113" s="7"/>
      <c r="G113" s="6"/>
      <c r="H113" s="6" t="s">
        <v>92</v>
      </c>
      <c r="I113" s="6" t="s">
        <v>21</v>
      </c>
      <c r="J113" s="6" t="s">
        <v>16</v>
      </c>
      <c r="K113" s="6"/>
      <c r="L113" s="6"/>
    </row>
    <row r="114" spans="1:12">
      <c r="A114" s="6">
        <v>110</v>
      </c>
      <c r="B114" s="8" t="s">
        <v>337</v>
      </c>
      <c r="C114" s="8"/>
      <c r="D114" s="7" t="s">
        <v>338</v>
      </c>
      <c r="E114" s="6"/>
      <c r="F114" s="7"/>
      <c r="G114" s="6"/>
      <c r="H114" s="6"/>
      <c r="I114" s="6"/>
      <c r="J114" s="6" t="s">
        <v>16</v>
      </c>
      <c r="K114" s="6"/>
      <c r="L114" s="6"/>
    </row>
    <row r="115" spans="1:12" ht="159">
      <c r="A115" s="6">
        <v>111</v>
      </c>
      <c r="B115" s="8" t="s">
        <v>337</v>
      </c>
      <c r="C115" s="8"/>
      <c r="D115" s="7" t="s">
        <v>339</v>
      </c>
      <c r="E115" s="6" t="s">
        <v>23</v>
      </c>
      <c r="F115" s="7"/>
      <c r="G115" s="6" t="s">
        <v>340</v>
      </c>
      <c r="H115" s="7" t="s">
        <v>341</v>
      </c>
      <c r="I115" s="6" t="s">
        <v>21</v>
      </c>
      <c r="J115" s="6" t="s">
        <v>16</v>
      </c>
      <c r="K115" s="6"/>
      <c r="L115" s="6"/>
    </row>
    <row r="116" spans="1:12">
      <c r="A116" s="6">
        <v>112</v>
      </c>
      <c r="B116" s="8" t="s">
        <v>337</v>
      </c>
      <c r="C116" s="8"/>
      <c r="D116" s="7" t="s">
        <v>342</v>
      </c>
      <c r="E116" s="6" t="s">
        <v>23</v>
      </c>
      <c r="F116" s="7"/>
      <c r="G116" s="6"/>
      <c r="H116" s="6" t="s">
        <v>343</v>
      </c>
      <c r="I116" s="6" t="s">
        <v>21</v>
      </c>
      <c r="J116" s="6" t="s">
        <v>16</v>
      </c>
      <c r="K116" s="6"/>
      <c r="L116" s="6"/>
    </row>
    <row r="117" spans="1:12" ht="43.5">
      <c r="A117" s="6">
        <v>113</v>
      </c>
      <c r="B117" s="8" t="s">
        <v>168</v>
      </c>
      <c r="C117" s="8" t="s">
        <v>163</v>
      </c>
      <c r="D117" s="7" t="s">
        <v>164</v>
      </c>
      <c r="E117" s="6"/>
      <c r="F117" s="7"/>
      <c r="G117" s="6"/>
      <c r="H117" s="6"/>
      <c r="I117" s="6"/>
      <c r="J117" s="6" t="s">
        <v>16</v>
      </c>
      <c r="K117" s="6"/>
      <c r="L117" s="6"/>
    </row>
    <row r="118" spans="1:12" ht="130.5">
      <c r="A118" s="6">
        <v>114</v>
      </c>
      <c r="B118" s="8" t="s">
        <v>168</v>
      </c>
      <c r="C118" s="8"/>
      <c r="D118" s="7" t="s">
        <v>344</v>
      </c>
      <c r="E118" s="6"/>
      <c r="F118" s="7"/>
      <c r="G118" s="6"/>
      <c r="H118" s="6"/>
      <c r="I118" s="6"/>
      <c r="J118" s="6" t="s">
        <v>16</v>
      </c>
      <c r="K118" s="6"/>
      <c r="L118" s="6"/>
    </row>
    <row r="119" spans="1:12" ht="29.25">
      <c r="A119" s="6">
        <v>115</v>
      </c>
      <c r="B119" s="8" t="s">
        <v>168</v>
      </c>
      <c r="C119" s="8"/>
      <c r="D119" s="7" t="s">
        <v>345</v>
      </c>
      <c r="E119" s="6" t="s">
        <v>53</v>
      </c>
      <c r="F119" s="7" t="s">
        <v>54</v>
      </c>
      <c r="G119" s="6" t="s">
        <v>346</v>
      </c>
      <c r="H119" s="6" t="s">
        <v>171</v>
      </c>
      <c r="I119" s="6" t="s">
        <v>21</v>
      </c>
      <c r="J119" s="6" t="s">
        <v>16</v>
      </c>
      <c r="K119" s="6"/>
      <c r="L119" s="6"/>
    </row>
    <row r="121" spans="1:12" ht="15.75">
      <c r="F121" s="4"/>
    </row>
    <row r="122" spans="1:12" ht="15.75">
      <c r="F122" s="4"/>
    </row>
  </sheetData>
  <phoneticPr fontId="3" type="noConversion"/>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762EDCC802A004DB7C4370E67AB8BF1" ma:contentTypeVersion="3" ma:contentTypeDescription="Een nieuw document maken." ma:contentTypeScope="" ma:versionID="07fda17546ed445787f7eddc9d10b5b8">
  <xsd:schema xmlns:xsd="http://www.w3.org/2001/XMLSchema" xmlns:xs="http://www.w3.org/2001/XMLSchema" xmlns:p="http://schemas.microsoft.com/office/2006/metadata/properties" xmlns:ns2="13096e78-dedb-4bc7-82e4-4254245162a5" targetNamespace="http://schemas.microsoft.com/office/2006/metadata/properties" ma:root="true" ma:fieldsID="d1df98c5187805b7b87355a019525a2d" ns2:_="">
    <xsd:import namespace="13096e78-dedb-4bc7-82e4-4254245162a5"/>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3096e78-dedb-4bc7-82e4-4254245162a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A335C17-4B77-4822-BAC6-173F975F83C8}"/>
</file>

<file path=customXml/itemProps2.xml><?xml version="1.0" encoding="utf-8"?>
<ds:datastoreItem xmlns:ds="http://schemas.openxmlformats.org/officeDocument/2006/customXml" ds:itemID="{D4F7BF4F-8FEE-4D24-AC5B-0BB0FE21FB78}"/>
</file>

<file path=customXml/itemProps3.xml><?xml version="1.0" encoding="utf-8"?>
<ds:datastoreItem xmlns:ds="http://schemas.openxmlformats.org/officeDocument/2006/customXml" ds:itemID="{05EF0A96-9A7F-4CAD-956E-D7704A42830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Blijenberg, Michael</dc:creator>
  <cp:keywords/>
  <dc:description/>
  <cp:lastModifiedBy>Terry Crapts</cp:lastModifiedBy>
  <cp:revision/>
  <dcterms:created xsi:type="dcterms:W3CDTF">2025-07-24T08:08:42Z</dcterms:created>
  <dcterms:modified xsi:type="dcterms:W3CDTF">2025-09-19T09:31:13Z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0x0101007762EDCC802A004DB7C4370E67AB8BF1</vt:lpwstr>
  </property>
</Properties>
</file>